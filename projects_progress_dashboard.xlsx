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E:\Hadi E-learning\"/>
    </mc:Choice>
  </mc:AlternateContent>
  <xr:revisionPtr revIDLastSave="0" documentId="13_ncr:1_{A5C92960-05DD-4EDF-A988-8AC46A03862D}" xr6:coauthVersionLast="47" xr6:coauthVersionMax="47" xr10:uidLastSave="{00000000-0000-0000-0000-000000000000}"/>
  <bookViews>
    <workbookView xWindow="-120" yWindow="-120" windowWidth="20730" windowHeight="11160" activeTab="2" xr2:uid="{00000000-000D-0000-FFFF-FFFF00000000}"/>
  </bookViews>
  <sheets>
    <sheet name="Data" sheetId="1" r:id="rId1"/>
    <sheet name="Pivot tables" sheetId="3" r:id="rId2"/>
    <sheet name="Dashboard" sheetId="4" r:id="rId3"/>
  </sheets>
  <definedNames>
    <definedName name="_xlnm._FilterDatabase" localSheetId="0" hidden="1">Data!$A$1:$N$51</definedName>
    <definedName name="Slicer_Performance_Status">#N/A</definedName>
    <definedName name="Slicer_Project_Name">#N/A</definedName>
    <definedName name="Slicer_Target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2" i="1"/>
</calcChain>
</file>

<file path=xl/sharedStrings.xml><?xml version="1.0" encoding="utf-8"?>
<sst xmlns="http://schemas.openxmlformats.org/spreadsheetml/2006/main" count="252" uniqueCount="117">
  <si>
    <t>Project Name</t>
  </si>
  <si>
    <t>New Activities</t>
  </si>
  <si>
    <t>Total Tasks</t>
  </si>
  <si>
    <t>Passed</t>
  </si>
  <si>
    <t>Deferred</t>
  </si>
  <si>
    <t>Pending</t>
  </si>
  <si>
    <t>Cancelled</t>
  </si>
  <si>
    <t>Target Date</t>
  </si>
  <si>
    <t>Remarks</t>
  </si>
  <si>
    <t>Completion %</t>
  </si>
  <si>
    <t>Pending %</t>
  </si>
  <si>
    <t>Cancel %</t>
  </si>
  <si>
    <t>Performance Status</t>
  </si>
  <si>
    <t>Data Check</t>
  </si>
  <si>
    <t>ERP Implementation</t>
  </si>
  <si>
    <t>2026-06-08</t>
  </si>
  <si>
    <t>Critical</t>
  </si>
  <si>
    <t>CRM System Upgrade</t>
  </si>
  <si>
    <t>2026-04-29</t>
  </si>
  <si>
    <t>Website Redesign</t>
  </si>
  <si>
    <t>2026-07-22</t>
  </si>
  <si>
    <t>On Track</t>
  </si>
  <si>
    <t>Mobile App Development</t>
  </si>
  <si>
    <t>2026-04-30</t>
  </si>
  <si>
    <t>Delayed</t>
  </si>
  <si>
    <t>Cloud Migration</t>
  </si>
  <si>
    <t>2026-06-19</t>
  </si>
  <si>
    <t>Cybersecurity Enhancement</t>
  </si>
  <si>
    <t>2026-04-07</t>
  </si>
  <si>
    <t>HR Digital Transformation</t>
  </si>
  <si>
    <t>Payroll Automation</t>
  </si>
  <si>
    <t>2026-07-15</t>
  </si>
  <si>
    <t>Customer Support Optimization</t>
  </si>
  <si>
    <t>2026-06-29</t>
  </si>
  <si>
    <t>Data Warehouse Setup</t>
  </si>
  <si>
    <t>2026-05-12</t>
  </si>
  <si>
    <t>Needs Attention</t>
  </si>
  <si>
    <t>AI Chatbot Deployment</t>
  </si>
  <si>
    <t>2026-06-04</t>
  </si>
  <si>
    <t>Network Infrastructure Upgrade</t>
  </si>
  <si>
    <t>2026-07-27</t>
  </si>
  <si>
    <t>Business Intelligence Dashboard</t>
  </si>
  <si>
    <t>2026-04-22</t>
  </si>
  <si>
    <t>E-commerce Platform Launch</t>
  </si>
  <si>
    <t>2026-04-13</t>
  </si>
  <si>
    <t>IT Helpdesk Improvement</t>
  </si>
  <si>
    <t>2026-05-10</t>
  </si>
  <si>
    <t>Supply Chain Optimization</t>
  </si>
  <si>
    <t>2026-05-31</t>
  </si>
  <si>
    <t>Inventory Management System</t>
  </si>
  <si>
    <t>Quality Assurance Program</t>
  </si>
  <si>
    <t>Digital Marketing Campaign</t>
  </si>
  <si>
    <t>2026-06-26</t>
  </si>
  <si>
    <t>SEO Optimization Project</t>
  </si>
  <si>
    <t>2026-07-02</t>
  </si>
  <si>
    <t>Social Media Strategy</t>
  </si>
  <si>
    <t>2026-05-03</t>
  </si>
  <si>
    <t>Content Management System</t>
  </si>
  <si>
    <t>Learning Management System</t>
  </si>
  <si>
    <t>Employee Engagement Initiative</t>
  </si>
  <si>
    <t>2026-05-16</t>
  </si>
  <si>
    <t>Performance Management System</t>
  </si>
  <si>
    <t>2026-06-07</t>
  </si>
  <si>
    <t>Vendor Management Portal</t>
  </si>
  <si>
    <t>2026-07-13</t>
  </si>
  <si>
    <t>Risk Management Framework</t>
  </si>
  <si>
    <t>Compliance Monitoring System</t>
  </si>
  <si>
    <t>2026-04-02</t>
  </si>
  <si>
    <t>Financial Reporting Automation</t>
  </si>
  <si>
    <t>Budget Planning System</t>
  </si>
  <si>
    <t>Procurement Automation</t>
  </si>
  <si>
    <t>2026-05-29</t>
  </si>
  <si>
    <t>Document Management System</t>
  </si>
  <si>
    <t>2026-07-14</t>
  </si>
  <si>
    <t>Knowledge Base Development</t>
  </si>
  <si>
    <t>API Integration Project</t>
  </si>
  <si>
    <t>2026-06-28</t>
  </si>
  <si>
    <t>Database Optimization</t>
  </si>
  <si>
    <t>2026-07-16</t>
  </si>
  <si>
    <t>Disaster Recovery Planning</t>
  </si>
  <si>
    <t>Backup Automation</t>
  </si>
  <si>
    <t>Email System Migration</t>
  </si>
  <si>
    <t>2026-05-05</t>
  </si>
  <si>
    <t>Collaboration Tools Deployment</t>
  </si>
  <si>
    <t>Remote Work Infrastructure</t>
  </si>
  <si>
    <t>2026-06-06</t>
  </si>
  <si>
    <t>Customer Feedback System</t>
  </si>
  <si>
    <t>2026-07-01</t>
  </si>
  <si>
    <t>Product Lifecycle Management</t>
  </si>
  <si>
    <t>Data Governance Framework</t>
  </si>
  <si>
    <t>2026-07-11</t>
  </si>
  <si>
    <t>Analytics Platform Upgrade</t>
  </si>
  <si>
    <t>2026-07-28</t>
  </si>
  <si>
    <t>IoT Monitoring System</t>
  </si>
  <si>
    <t>Smart Reporting Tool</t>
  </si>
  <si>
    <t>Training Program Development</t>
  </si>
  <si>
    <t>2026-06-12</t>
  </si>
  <si>
    <t>Market Research Analysis</t>
  </si>
  <si>
    <t>2026-04-18</t>
  </si>
  <si>
    <t>Process Improvement Initiative</t>
  </si>
  <si>
    <t>2026-06-20</t>
  </si>
  <si>
    <t>Service Delivery Optimization</t>
  </si>
  <si>
    <t>2026-04-14</t>
  </si>
  <si>
    <t>Sum of Total Tasks</t>
  </si>
  <si>
    <t>Sum of Passed</t>
  </si>
  <si>
    <t>Sum of Completion %</t>
  </si>
  <si>
    <t>Sum of Pending</t>
  </si>
  <si>
    <t>Row Labels</t>
  </si>
  <si>
    <t>Grand Total</t>
  </si>
  <si>
    <t>Count of Project Name</t>
  </si>
  <si>
    <t>Average</t>
  </si>
  <si>
    <t>Excellent</t>
  </si>
  <si>
    <t>Good</t>
  </si>
  <si>
    <t>Poor</t>
  </si>
  <si>
    <t>Sum of Deferred</t>
  </si>
  <si>
    <t>Sum of Cancelled</t>
  </si>
  <si>
    <t>Sum of New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</si>
</sst>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9" fontId="1" fillId="0" borderId="0" xfId="0" applyNumberFormat="1" applyFont="1"/>
    <xf numFmtId="9" fontId="0" fillId="0" borderId="0" xfId="0" applyNumberFormat="1"/>
    <xf numFmtId="0" fontId="0" fillId="0" borderId="0" xfId="0" applyNumberFormat="1"/>
    <xf numFmtId="1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
    <dxf>
      <numFmt numFmtId="14" formatCode="0.00%"/>
    </dxf>
  </dxfs>
  <tableStyles count="0" defaultTableStyle="TableStyleMedium9" defaultPivotStyle="PivotStyleLight16"/>
  <colors>
    <mruColors>
      <color rgb="FF09637E"/>
      <color rgb="FF088395"/>
      <color rgb="FFB8D7D6"/>
      <color rgb="FF7AB2B2"/>
      <color rgb="FFEBF4F6"/>
      <color rgb="FFFFFFFF"/>
      <color rgb="FF85586F"/>
      <color rgb="FFDEB6AB"/>
      <color rgb="FFF8E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[projects_progress_dashboard.xlsx]Pivot tables!PivotTable12</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New Activity Based</a:t>
            </a:r>
            <a:r>
              <a:rPr lang="en-US" b="1" baseline="0">
                <a:solidFill>
                  <a:sysClr val="windowText" lastClr="000000"/>
                </a:solidFill>
              </a:rPr>
              <a:t> on Performance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noFill/>
          </a:ln>
          <a:effectLst/>
        </c:spPr>
        <c:marker>
          <c:symbol val="none"/>
        </c:marker>
        <c:dLbl>
          <c:idx val="0"/>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7AB2B2"/>
          </a:solidFill>
          <a:ln w="19050">
            <a:noFill/>
          </a:ln>
          <a:effectLst/>
        </c:spPr>
        <c:dLbl>
          <c:idx val="0"/>
          <c:layout>
            <c:manualLayout>
              <c:x val="2.2222222222222119E-2"/>
              <c:y val="-2.3148148148148126E-2"/>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09637E"/>
          </a:solidFill>
          <a:ln w="19050">
            <a:noFill/>
          </a:ln>
          <a:effectLst/>
        </c:spPr>
        <c:dLbl>
          <c:idx val="0"/>
          <c:layout>
            <c:manualLayout>
              <c:x val="8.3333333333333332E-3"/>
              <c:y val="0"/>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88395"/>
          </a:solidFill>
          <a:ln w="19050">
            <a:noFill/>
          </a:ln>
          <a:effectLst/>
        </c:spPr>
        <c:dLbl>
          <c:idx val="0"/>
          <c:layout>
            <c:manualLayout>
              <c:x val="2.5000000000000001E-2"/>
              <c:y val="-3.2407407407407406E-2"/>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B8D7D6"/>
          </a:solidFill>
          <a:ln w="19050">
            <a:noFill/>
          </a:ln>
          <a:effectLst/>
        </c:spPr>
        <c:dLbl>
          <c:idx val="0"/>
          <c:layout>
            <c:manualLayout>
              <c:x val="-1.6666666666666691E-2"/>
              <c:y val="-4.6296296296297144E-3"/>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tables'!$B$77</c:f>
              <c:strCache>
                <c:ptCount val="1"/>
                <c:pt idx="0">
                  <c:v>Total</c:v>
                </c:pt>
              </c:strCache>
            </c:strRef>
          </c:tx>
          <c:spPr>
            <a:ln>
              <a:noFill/>
            </a:ln>
          </c:spPr>
          <c:dPt>
            <c:idx val="0"/>
            <c:bubble3D val="0"/>
            <c:spPr>
              <a:solidFill>
                <a:srgbClr val="7AB2B2"/>
              </a:solidFill>
              <a:ln w="19050">
                <a:noFill/>
              </a:ln>
              <a:effectLst/>
            </c:spPr>
            <c:extLst>
              <c:ext xmlns:c16="http://schemas.microsoft.com/office/drawing/2014/chart" uri="{C3380CC4-5D6E-409C-BE32-E72D297353CC}">
                <c16:uniqueId val="{00000001-527D-4913-A632-009F274D9AE8}"/>
              </c:ext>
            </c:extLst>
          </c:dPt>
          <c:dPt>
            <c:idx val="1"/>
            <c:bubble3D val="0"/>
            <c:spPr>
              <a:solidFill>
                <a:srgbClr val="09637E"/>
              </a:solidFill>
              <a:ln w="19050">
                <a:noFill/>
              </a:ln>
              <a:effectLst/>
            </c:spPr>
            <c:extLst>
              <c:ext xmlns:c16="http://schemas.microsoft.com/office/drawing/2014/chart" uri="{C3380CC4-5D6E-409C-BE32-E72D297353CC}">
                <c16:uniqueId val="{00000003-527D-4913-A632-009F274D9AE8}"/>
              </c:ext>
            </c:extLst>
          </c:dPt>
          <c:dPt>
            <c:idx val="2"/>
            <c:bubble3D val="0"/>
            <c:spPr>
              <a:solidFill>
                <a:srgbClr val="088395"/>
              </a:solidFill>
              <a:ln w="19050">
                <a:noFill/>
              </a:ln>
              <a:effectLst/>
            </c:spPr>
            <c:extLst>
              <c:ext xmlns:c16="http://schemas.microsoft.com/office/drawing/2014/chart" uri="{C3380CC4-5D6E-409C-BE32-E72D297353CC}">
                <c16:uniqueId val="{00000005-527D-4913-A632-009F274D9AE8}"/>
              </c:ext>
            </c:extLst>
          </c:dPt>
          <c:dPt>
            <c:idx val="3"/>
            <c:bubble3D val="0"/>
            <c:spPr>
              <a:solidFill>
                <a:srgbClr val="B8D7D6"/>
              </a:solidFill>
              <a:ln w="19050">
                <a:noFill/>
              </a:ln>
              <a:effectLst/>
            </c:spPr>
            <c:extLst>
              <c:ext xmlns:c16="http://schemas.microsoft.com/office/drawing/2014/chart" uri="{C3380CC4-5D6E-409C-BE32-E72D297353CC}">
                <c16:uniqueId val="{00000007-527D-4913-A632-009F274D9AE8}"/>
              </c:ext>
            </c:extLst>
          </c:dPt>
          <c:dLbls>
            <c:dLbl>
              <c:idx val="0"/>
              <c:layout>
                <c:manualLayout>
                  <c:x val="2.2222222222222119E-2"/>
                  <c:y val="-2.31481481481481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7D-4913-A632-009F274D9AE8}"/>
                </c:ext>
              </c:extLst>
            </c:dLbl>
            <c:dLbl>
              <c:idx val="1"/>
              <c:layout>
                <c:manualLayout>
                  <c:x val="8.3333333333333332E-3"/>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7D-4913-A632-009F274D9AE8}"/>
                </c:ext>
              </c:extLst>
            </c:dLbl>
            <c:dLbl>
              <c:idx val="2"/>
              <c:layout>
                <c:manualLayout>
                  <c:x val="2.5000000000000001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7D-4913-A632-009F274D9AE8}"/>
                </c:ext>
              </c:extLst>
            </c:dLbl>
            <c:dLbl>
              <c:idx val="3"/>
              <c:layout>
                <c:manualLayout>
                  <c:x val="-1.6666666666666691E-2"/>
                  <c:y val="-4.629629629629714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7D-4913-A632-009F274D9AE8}"/>
                </c:ext>
              </c:extLst>
            </c:dLbl>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tables'!$A$78:$A$82</c:f>
              <c:strCache>
                <c:ptCount val="4"/>
                <c:pt idx="0">
                  <c:v>Average</c:v>
                </c:pt>
                <c:pt idx="1">
                  <c:v>Excellent</c:v>
                </c:pt>
                <c:pt idx="2">
                  <c:v>Good</c:v>
                </c:pt>
                <c:pt idx="3">
                  <c:v>Poor</c:v>
                </c:pt>
              </c:strCache>
            </c:strRef>
          </c:cat>
          <c:val>
            <c:numRef>
              <c:f>'Pivot tables'!$B$78:$B$82</c:f>
              <c:numCache>
                <c:formatCode>General</c:formatCode>
                <c:ptCount val="4"/>
                <c:pt idx="0">
                  <c:v>228</c:v>
                </c:pt>
                <c:pt idx="1">
                  <c:v>31</c:v>
                </c:pt>
                <c:pt idx="2">
                  <c:v>167</c:v>
                </c:pt>
                <c:pt idx="3">
                  <c:v>417</c:v>
                </c:pt>
              </c:numCache>
            </c:numRef>
          </c:val>
          <c:extLst>
            <c:ext xmlns:c16="http://schemas.microsoft.com/office/drawing/2014/chart" uri="{C3380CC4-5D6E-409C-BE32-E72D297353CC}">
              <c16:uniqueId val="{00000008-527D-4913-A632-009F274D9AE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[projects_progress_dashboard.xlsx]Pivot tables!PivotTable13</c:name>
    <c:fmtId val="1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Project Tasks by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hade val="58000"/>
            </a:schemeClr>
          </a:solidFill>
          <a:ln w="19050">
            <a:solidFill>
              <a:schemeClr val="lt1"/>
            </a:solidFill>
          </a:ln>
          <a:effectLst/>
        </c:spPr>
      </c:pivotFmt>
      <c:pivotFmt>
        <c:idx val="6"/>
        <c:spPr>
          <a:solidFill>
            <a:schemeClr val="accent5">
              <a:shade val="86000"/>
            </a:schemeClr>
          </a:solidFill>
          <a:ln w="19050">
            <a:solidFill>
              <a:schemeClr val="lt1"/>
            </a:solidFill>
          </a:ln>
          <a:effectLst/>
        </c:spPr>
      </c:pivotFmt>
      <c:pivotFmt>
        <c:idx val="7"/>
        <c:spPr>
          <a:solidFill>
            <a:schemeClr val="accent5">
              <a:tint val="86000"/>
            </a:schemeClr>
          </a:solidFill>
          <a:ln w="19050">
            <a:solidFill>
              <a:schemeClr val="lt1"/>
            </a:solidFill>
          </a:ln>
          <a:effectLst/>
        </c:spPr>
      </c:pivotFmt>
      <c:pivotFmt>
        <c:idx val="8"/>
        <c:spPr>
          <a:solidFill>
            <a:schemeClr val="accent5">
              <a:tint val="58000"/>
            </a:schemeClr>
          </a:solidFill>
          <a:ln w="19050">
            <a:solidFill>
              <a:schemeClr val="lt1"/>
            </a:solidFill>
          </a:ln>
          <a:effectLst/>
        </c:spPr>
      </c:pivotFmt>
      <c:pivotFmt>
        <c:idx val="9"/>
        <c:spPr>
          <a:solidFill>
            <a:schemeClr val="accent5"/>
          </a:solidFill>
          <a:ln w="19050">
            <a:noFill/>
          </a:ln>
          <a:effectLst/>
        </c:spPr>
        <c:marker>
          <c:symbol val="none"/>
        </c:marker>
        <c:dLbl>
          <c:idx val="0"/>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hade val="58000"/>
            </a:schemeClr>
          </a:solidFill>
          <a:ln w="19050">
            <a:noFill/>
          </a:ln>
          <a:effectLst/>
        </c:spPr>
      </c:pivotFmt>
      <c:pivotFmt>
        <c:idx val="11"/>
        <c:spPr>
          <a:solidFill>
            <a:schemeClr val="accent5">
              <a:shade val="86000"/>
            </a:schemeClr>
          </a:solidFill>
          <a:ln w="19050">
            <a:noFill/>
          </a:ln>
          <a:effectLst/>
        </c:spPr>
      </c:pivotFmt>
      <c:pivotFmt>
        <c:idx val="12"/>
        <c:spPr>
          <a:solidFill>
            <a:schemeClr val="accent5">
              <a:tint val="86000"/>
            </a:schemeClr>
          </a:solidFill>
          <a:ln w="19050">
            <a:noFill/>
          </a:ln>
          <a:effectLst/>
        </c:spPr>
        <c:dLbl>
          <c:idx val="0"/>
          <c:layout>
            <c:manualLayout>
              <c:x val="4.6376811594202795E-2"/>
              <c:y val="-3.7037037037037035E-2"/>
            </c:manualLayout>
          </c:layout>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tint val="58000"/>
            </a:schemeClr>
          </a:solidFill>
          <a:ln w="19050">
            <a:noFill/>
          </a:ln>
          <a:effectLst/>
        </c:spPr>
      </c:pivotFmt>
    </c:pivotFmts>
    <c:plotArea>
      <c:layout/>
      <c:pieChart>
        <c:varyColors val="1"/>
        <c:ser>
          <c:idx val="0"/>
          <c:order val="0"/>
          <c:tx>
            <c:strRef>
              <c:f>'Pivot tables'!$B$85</c:f>
              <c:strCache>
                <c:ptCount val="1"/>
                <c:pt idx="0">
                  <c:v>Total</c:v>
                </c:pt>
              </c:strCache>
            </c:strRef>
          </c:tx>
          <c:spPr>
            <a:ln>
              <a:noFill/>
            </a:ln>
          </c:spPr>
          <c:dPt>
            <c:idx val="0"/>
            <c:bubble3D val="0"/>
            <c:spPr>
              <a:solidFill>
                <a:schemeClr val="accent5">
                  <a:shade val="58000"/>
                </a:schemeClr>
              </a:solidFill>
              <a:ln w="19050">
                <a:noFill/>
              </a:ln>
              <a:effectLst/>
            </c:spPr>
            <c:extLst>
              <c:ext xmlns:c16="http://schemas.microsoft.com/office/drawing/2014/chart" uri="{C3380CC4-5D6E-409C-BE32-E72D297353CC}">
                <c16:uniqueId val="{00000001-8AE4-44D6-B85C-343551657320}"/>
              </c:ext>
            </c:extLst>
          </c:dPt>
          <c:dPt>
            <c:idx val="1"/>
            <c:bubble3D val="0"/>
            <c:spPr>
              <a:solidFill>
                <a:schemeClr val="accent5">
                  <a:shade val="86000"/>
                </a:schemeClr>
              </a:solidFill>
              <a:ln w="19050">
                <a:noFill/>
              </a:ln>
              <a:effectLst/>
            </c:spPr>
            <c:extLst>
              <c:ext xmlns:c16="http://schemas.microsoft.com/office/drawing/2014/chart" uri="{C3380CC4-5D6E-409C-BE32-E72D297353CC}">
                <c16:uniqueId val="{00000003-8AE4-44D6-B85C-343551657320}"/>
              </c:ext>
            </c:extLst>
          </c:dPt>
          <c:dPt>
            <c:idx val="2"/>
            <c:bubble3D val="0"/>
            <c:spPr>
              <a:solidFill>
                <a:schemeClr val="accent5">
                  <a:tint val="86000"/>
                </a:schemeClr>
              </a:solidFill>
              <a:ln w="19050">
                <a:noFill/>
              </a:ln>
              <a:effectLst/>
            </c:spPr>
            <c:extLst>
              <c:ext xmlns:c16="http://schemas.microsoft.com/office/drawing/2014/chart" uri="{C3380CC4-5D6E-409C-BE32-E72D297353CC}">
                <c16:uniqueId val="{00000005-8AE4-44D6-B85C-343551657320}"/>
              </c:ext>
            </c:extLst>
          </c:dPt>
          <c:dPt>
            <c:idx val="3"/>
            <c:bubble3D val="0"/>
            <c:spPr>
              <a:solidFill>
                <a:schemeClr val="accent5">
                  <a:tint val="58000"/>
                </a:schemeClr>
              </a:solidFill>
              <a:ln w="19050">
                <a:noFill/>
              </a:ln>
              <a:effectLst/>
            </c:spPr>
            <c:extLst>
              <c:ext xmlns:c16="http://schemas.microsoft.com/office/drawing/2014/chart" uri="{C3380CC4-5D6E-409C-BE32-E72D297353CC}">
                <c16:uniqueId val="{00000007-8AE4-44D6-B85C-343551657320}"/>
              </c:ext>
            </c:extLst>
          </c:dPt>
          <c:dLbls>
            <c:dLbl>
              <c:idx val="2"/>
              <c:layout>
                <c:manualLayout>
                  <c:x val="4.6376811594202795E-2"/>
                  <c:y val="-3.70370370370370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AE4-44D6-B85C-343551657320}"/>
                </c:ext>
              </c:extLst>
            </c:dLbl>
            <c:spPr>
              <a:solidFill>
                <a:srgbClr val="09637E"/>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tables'!$A$86:$A$90</c:f>
              <c:strCache>
                <c:ptCount val="4"/>
                <c:pt idx="0">
                  <c:v>Average</c:v>
                </c:pt>
                <c:pt idx="1">
                  <c:v>Excellent</c:v>
                </c:pt>
                <c:pt idx="2">
                  <c:v>Good</c:v>
                </c:pt>
                <c:pt idx="3">
                  <c:v>Poor</c:v>
                </c:pt>
              </c:strCache>
            </c:strRef>
          </c:cat>
          <c:val>
            <c:numRef>
              <c:f>'Pivot tables'!$B$86:$B$90</c:f>
              <c:numCache>
                <c:formatCode>General</c:formatCode>
                <c:ptCount val="4"/>
                <c:pt idx="0">
                  <c:v>1341</c:v>
                </c:pt>
                <c:pt idx="1">
                  <c:v>198</c:v>
                </c:pt>
                <c:pt idx="2">
                  <c:v>915</c:v>
                </c:pt>
                <c:pt idx="3">
                  <c:v>2372</c:v>
                </c:pt>
              </c:numCache>
            </c:numRef>
          </c:val>
          <c:extLst>
            <c:ext xmlns:c16="http://schemas.microsoft.com/office/drawing/2014/chart" uri="{C3380CC4-5D6E-409C-BE32-E72D297353CC}">
              <c16:uniqueId val="{00000008-8AE4-44D6-B85C-34355165732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[projects_progress_dashboard.xlsx]Pivot tables!PivotTable10</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Project Performance Summary</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tables'!$B$15</c:f>
              <c:strCache>
                <c:ptCount val="1"/>
                <c:pt idx="0">
                  <c:v>Sum of Passed</c:v>
                </c:pt>
              </c:strCache>
            </c:strRef>
          </c:tx>
          <c:spPr>
            <a:solidFill>
              <a:schemeClr val="accent5">
                <a:shade val="58000"/>
              </a:schemeClr>
            </a:solidFill>
            <a:ln>
              <a:noFill/>
            </a:ln>
            <a:effectLst/>
          </c:spPr>
          <c:invertIfNegative val="0"/>
          <c:cat>
            <c:strRef>
              <c:f>'Pivot tables'!$A$16:$A$66</c:f>
              <c:strCache>
                <c:ptCount val="50"/>
                <c:pt idx="0">
                  <c:v>AI Chatbot Deployment</c:v>
                </c:pt>
                <c:pt idx="1">
                  <c:v>Analytics Platform Upgrade</c:v>
                </c:pt>
                <c:pt idx="2">
                  <c:v>API Integration Project</c:v>
                </c:pt>
                <c:pt idx="3">
                  <c:v>Backup Automation</c:v>
                </c:pt>
                <c:pt idx="4">
                  <c:v>Budget Planning System</c:v>
                </c:pt>
                <c:pt idx="5">
                  <c:v>Business Intelligence Dashboard</c:v>
                </c:pt>
                <c:pt idx="6">
                  <c:v>Cloud Migration</c:v>
                </c:pt>
                <c:pt idx="7">
                  <c:v>Collaboration Tools Deployment</c:v>
                </c:pt>
                <c:pt idx="8">
                  <c:v>Compliance Monitoring System</c:v>
                </c:pt>
                <c:pt idx="9">
                  <c:v>Content Management System</c:v>
                </c:pt>
                <c:pt idx="10">
                  <c:v>CRM System Upgrade</c:v>
                </c:pt>
                <c:pt idx="11">
                  <c:v>Customer Feedback System</c:v>
                </c:pt>
                <c:pt idx="12">
                  <c:v>Customer Support Optimization</c:v>
                </c:pt>
                <c:pt idx="13">
                  <c:v>Cybersecurity Enhancement</c:v>
                </c:pt>
                <c:pt idx="14">
                  <c:v>Data Governance Framework</c:v>
                </c:pt>
                <c:pt idx="15">
                  <c:v>Data Warehouse Setup</c:v>
                </c:pt>
                <c:pt idx="16">
                  <c:v>Database Optimization</c:v>
                </c:pt>
                <c:pt idx="17">
                  <c:v>Digital Marketing Campaign</c:v>
                </c:pt>
                <c:pt idx="18">
                  <c:v>Disaster Recovery Planning</c:v>
                </c:pt>
                <c:pt idx="19">
                  <c:v>Document Management System</c:v>
                </c:pt>
                <c:pt idx="20">
                  <c:v>E-commerce Platform Launch</c:v>
                </c:pt>
                <c:pt idx="21">
                  <c:v>Email System Migration</c:v>
                </c:pt>
                <c:pt idx="22">
                  <c:v>Employee Engagement Initiative</c:v>
                </c:pt>
                <c:pt idx="23">
                  <c:v>ERP Implementation</c:v>
                </c:pt>
                <c:pt idx="24">
                  <c:v>Financial Reporting Automation</c:v>
                </c:pt>
                <c:pt idx="25">
                  <c:v>HR Digital Transformation</c:v>
                </c:pt>
                <c:pt idx="26">
                  <c:v>Inventory Management System</c:v>
                </c:pt>
                <c:pt idx="27">
                  <c:v>IoT Monitoring System</c:v>
                </c:pt>
                <c:pt idx="28">
                  <c:v>IT Helpdesk Improvement</c:v>
                </c:pt>
                <c:pt idx="29">
                  <c:v>Knowledge Base Development</c:v>
                </c:pt>
                <c:pt idx="30">
                  <c:v>Learning Management System</c:v>
                </c:pt>
                <c:pt idx="31">
                  <c:v>Market Research Analysis</c:v>
                </c:pt>
                <c:pt idx="32">
                  <c:v>Mobile App Development</c:v>
                </c:pt>
                <c:pt idx="33">
                  <c:v>Network Infrastructure Upgrade</c:v>
                </c:pt>
                <c:pt idx="34">
                  <c:v>Payroll Automation</c:v>
                </c:pt>
                <c:pt idx="35">
                  <c:v>Performance Management System</c:v>
                </c:pt>
                <c:pt idx="36">
                  <c:v>Process Improvement Initiative</c:v>
                </c:pt>
                <c:pt idx="37">
                  <c:v>Procurement Automation</c:v>
                </c:pt>
                <c:pt idx="38">
                  <c:v>Product Lifecycle Management</c:v>
                </c:pt>
                <c:pt idx="39">
                  <c:v>Quality Assurance Program</c:v>
                </c:pt>
                <c:pt idx="40">
                  <c:v>Remote Work Infrastructure</c:v>
                </c:pt>
                <c:pt idx="41">
                  <c:v>Risk Management Framework</c:v>
                </c:pt>
                <c:pt idx="42">
                  <c:v>SEO Optimization Project</c:v>
                </c:pt>
                <c:pt idx="43">
                  <c:v>Service Delivery Optimization</c:v>
                </c:pt>
                <c:pt idx="44">
                  <c:v>Smart Reporting Tool</c:v>
                </c:pt>
                <c:pt idx="45">
                  <c:v>Social Media Strategy</c:v>
                </c:pt>
                <c:pt idx="46">
                  <c:v>Supply Chain Optimization</c:v>
                </c:pt>
                <c:pt idx="47">
                  <c:v>Training Program Development</c:v>
                </c:pt>
                <c:pt idx="48">
                  <c:v>Vendor Management Portal</c:v>
                </c:pt>
                <c:pt idx="49">
                  <c:v>Website Redesign</c:v>
                </c:pt>
              </c:strCache>
            </c:strRef>
          </c:cat>
          <c:val>
            <c:numRef>
              <c:f>'Pivot tables'!$B$16:$B$66</c:f>
              <c:numCache>
                <c:formatCode>General</c:formatCode>
                <c:ptCount val="50"/>
                <c:pt idx="0">
                  <c:v>20</c:v>
                </c:pt>
                <c:pt idx="1">
                  <c:v>36</c:v>
                </c:pt>
                <c:pt idx="2">
                  <c:v>50</c:v>
                </c:pt>
                <c:pt idx="3">
                  <c:v>72</c:v>
                </c:pt>
                <c:pt idx="4">
                  <c:v>80</c:v>
                </c:pt>
                <c:pt idx="5">
                  <c:v>43</c:v>
                </c:pt>
                <c:pt idx="6">
                  <c:v>46</c:v>
                </c:pt>
                <c:pt idx="7">
                  <c:v>69</c:v>
                </c:pt>
                <c:pt idx="8">
                  <c:v>89</c:v>
                </c:pt>
                <c:pt idx="9">
                  <c:v>37</c:v>
                </c:pt>
                <c:pt idx="10">
                  <c:v>34</c:v>
                </c:pt>
                <c:pt idx="11">
                  <c:v>32</c:v>
                </c:pt>
                <c:pt idx="12">
                  <c:v>122</c:v>
                </c:pt>
                <c:pt idx="13">
                  <c:v>70</c:v>
                </c:pt>
                <c:pt idx="14">
                  <c:v>43</c:v>
                </c:pt>
                <c:pt idx="15">
                  <c:v>17</c:v>
                </c:pt>
                <c:pt idx="16">
                  <c:v>31</c:v>
                </c:pt>
                <c:pt idx="17">
                  <c:v>20</c:v>
                </c:pt>
                <c:pt idx="18">
                  <c:v>87</c:v>
                </c:pt>
                <c:pt idx="19">
                  <c:v>53</c:v>
                </c:pt>
                <c:pt idx="20">
                  <c:v>52</c:v>
                </c:pt>
                <c:pt idx="21">
                  <c:v>48</c:v>
                </c:pt>
                <c:pt idx="22">
                  <c:v>75</c:v>
                </c:pt>
                <c:pt idx="23">
                  <c:v>67</c:v>
                </c:pt>
                <c:pt idx="24">
                  <c:v>96</c:v>
                </c:pt>
                <c:pt idx="25">
                  <c:v>11</c:v>
                </c:pt>
                <c:pt idx="26">
                  <c:v>86</c:v>
                </c:pt>
                <c:pt idx="27">
                  <c:v>7</c:v>
                </c:pt>
                <c:pt idx="28">
                  <c:v>55</c:v>
                </c:pt>
                <c:pt idx="29">
                  <c:v>5</c:v>
                </c:pt>
                <c:pt idx="30">
                  <c:v>43</c:v>
                </c:pt>
                <c:pt idx="31">
                  <c:v>60</c:v>
                </c:pt>
                <c:pt idx="32">
                  <c:v>30</c:v>
                </c:pt>
                <c:pt idx="33">
                  <c:v>32</c:v>
                </c:pt>
                <c:pt idx="34">
                  <c:v>88</c:v>
                </c:pt>
                <c:pt idx="35">
                  <c:v>90</c:v>
                </c:pt>
                <c:pt idx="36">
                  <c:v>5</c:v>
                </c:pt>
                <c:pt idx="37">
                  <c:v>61</c:v>
                </c:pt>
                <c:pt idx="38">
                  <c:v>45</c:v>
                </c:pt>
                <c:pt idx="39">
                  <c:v>26</c:v>
                </c:pt>
                <c:pt idx="40">
                  <c:v>17</c:v>
                </c:pt>
                <c:pt idx="41">
                  <c:v>61</c:v>
                </c:pt>
                <c:pt idx="42">
                  <c:v>26</c:v>
                </c:pt>
                <c:pt idx="43">
                  <c:v>91</c:v>
                </c:pt>
                <c:pt idx="44">
                  <c:v>10</c:v>
                </c:pt>
                <c:pt idx="45">
                  <c:v>125</c:v>
                </c:pt>
                <c:pt idx="46">
                  <c:v>9</c:v>
                </c:pt>
                <c:pt idx="47">
                  <c:v>15</c:v>
                </c:pt>
                <c:pt idx="48">
                  <c:v>61</c:v>
                </c:pt>
                <c:pt idx="49">
                  <c:v>37</c:v>
                </c:pt>
              </c:numCache>
            </c:numRef>
          </c:val>
          <c:extLst>
            <c:ext xmlns:c16="http://schemas.microsoft.com/office/drawing/2014/chart" uri="{C3380CC4-5D6E-409C-BE32-E72D297353CC}">
              <c16:uniqueId val="{00000000-09B7-427B-B57E-59E7C3950588}"/>
            </c:ext>
          </c:extLst>
        </c:ser>
        <c:ser>
          <c:idx val="1"/>
          <c:order val="1"/>
          <c:tx>
            <c:strRef>
              <c:f>'Pivot tables'!$C$15</c:f>
              <c:strCache>
                <c:ptCount val="1"/>
                <c:pt idx="0">
                  <c:v>Sum of Deferred</c:v>
                </c:pt>
              </c:strCache>
            </c:strRef>
          </c:tx>
          <c:spPr>
            <a:solidFill>
              <a:schemeClr val="accent5">
                <a:shade val="86000"/>
              </a:schemeClr>
            </a:solidFill>
            <a:ln>
              <a:noFill/>
            </a:ln>
            <a:effectLst/>
          </c:spPr>
          <c:invertIfNegative val="0"/>
          <c:cat>
            <c:strRef>
              <c:f>'Pivot tables'!$A$16:$A$66</c:f>
              <c:strCache>
                <c:ptCount val="50"/>
                <c:pt idx="0">
                  <c:v>AI Chatbot Deployment</c:v>
                </c:pt>
                <c:pt idx="1">
                  <c:v>Analytics Platform Upgrade</c:v>
                </c:pt>
                <c:pt idx="2">
                  <c:v>API Integration Project</c:v>
                </c:pt>
                <c:pt idx="3">
                  <c:v>Backup Automation</c:v>
                </c:pt>
                <c:pt idx="4">
                  <c:v>Budget Planning System</c:v>
                </c:pt>
                <c:pt idx="5">
                  <c:v>Business Intelligence Dashboard</c:v>
                </c:pt>
                <c:pt idx="6">
                  <c:v>Cloud Migration</c:v>
                </c:pt>
                <c:pt idx="7">
                  <c:v>Collaboration Tools Deployment</c:v>
                </c:pt>
                <c:pt idx="8">
                  <c:v>Compliance Monitoring System</c:v>
                </c:pt>
                <c:pt idx="9">
                  <c:v>Content Management System</c:v>
                </c:pt>
                <c:pt idx="10">
                  <c:v>CRM System Upgrade</c:v>
                </c:pt>
                <c:pt idx="11">
                  <c:v>Customer Feedback System</c:v>
                </c:pt>
                <c:pt idx="12">
                  <c:v>Customer Support Optimization</c:v>
                </c:pt>
                <c:pt idx="13">
                  <c:v>Cybersecurity Enhancement</c:v>
                </c:pt>
                <c:pt idx="14">
                  <c:v>Data Governance Framework</c:v>
                </c:pt>
                <c:pt idx="15">
                  <c:v>Data Warehouse Setup</c:v>
                </c:pt>
                <c:pt idx="16">
                  <c:v>Database Optimization</c:v>
                </c:pt>
                <c:pt idx="17">
                  <c:v>Digital Marketing Campaign</c:v>
                </c:pt>
                <c:pt idx="18">
                  <c:v>Disaster Recovery Planning</c:v>
                </c:pt>
                <c:pt idx="19">
                  <c:v>Document Management System</c:v>
                </c:pt>
                <c:pt idx="20">
                  <c:v>E-commerce Platform Launch</c:v>
                </c:pt>
                <c:pt idx="21">
                  <c:v>Email System Migration</c:v>
                </c:pt>
                <c:pt idx="22">
                  <c:v>Employee Engagement Initiative</c:v>
                </c:pt>
                <c:pt idx="23">
                  <c:v>ERP Implementation</c:v>
                </c:pt>
                <c:pt idx="24">
                  <c:v>Financial Reporting Automation</c:v>
                </c:pt>
                <c:pt idx="25">
                  <c:v>HR Digital Transformation</c:v>
                </c:pt>
                <c:pt idx="26">
                  <c:v>Inventory Management System</c:v>
                </c:pt>
                <c:pt idx="27">
                  <c:v>IoT Monitoring System</c:v>
                </c:pt>
                <c:pt idx="28">
                  <c:v>IT Helpdesk Improvement</c:v>
                </c:pt>
                <c:pt idx="29">
                  <c:v>Knowledge Base Development</c:v>
                </c:pt>
                <c:pt idx="30">
                  <c:v>Learning Management System</c:v>
                </c:pt>
                <c:pt idx="31">
                  <c:v>Market Research Analysis</c:v>
                </c:pt>
                <c:pt idx="32">
                  <c:v>Mobile App Development</c:v>
                </c:pt>
                <c:pt idx="33">
                  <c:v>Network Infrastructure Upgrade</c:v>
                </c:pt>
                <c:pt idx="34">
                  <c:v>Payroll Automation</c:v>
                </c:pt>
                <c:pt idx="35">
                  <c:v>Performance Management System</c:v>
                </c:pt>
                <c:pt idx="36">
                  <c:v>Process Improvement Initiative</c:v>
                </c:pt>
                <c:pt idx="37">
                  <c:v>Procurement Automation</c:v>
                </c:pt>
                <c:pt idx="38">
                  <c:v>Product Lifecycle Management</c:v>
                </c:pt>
                <c:pt idx="39">
                  <c:v>Quality Assurance Program</c:v>
                </c:pt>
                <c:pt idx="40">
                  <c:v>Remote Work Infrastructure</c:v>
                </c:pt>
                <c:pt idx="41">
                  <c:v>Risk Management Framework</c:v>
                </c:pt>
                <c:pt idx="42">
                  <c:v>SEO Optimization Project</c:v>
                </c:pt>
                <c:pt idx="43">
                  <c:v>Service Delivery Optimization</c:v>
                </c:pt>
                <c:pt idx="44">
                  <c:v>Smart Reporting Tool</c:v>
                </c:pt>
                <c:pt idx="45">
                  <c:v>Social Media Strategy</c:v>
                </c:pt>
                <c:pt idx="46">
                  <c:v>Supply Chain Optimization</c:v>
                </c:pt>
                <c:pt idx="47">
                  <c:v>Training Program Development</c:v>
                </c:pt>
                <c:pt idx="48">
                  <c:v>Vendor Management Portal</c:v>
                </c:pt>
                <c:pt idx="49">
                  <c:v>Website Redesign</c:v>
                </c:pt>
              </c:strCache>
            </c:strRef>
          </c:cat>
          <c:val>
            <c:numRef>
              <c:f>'Pivot tables'!$C$16:$C$66</c:f>
              <c:numCache>
                <c:formatCode>General</c:formatCode>
                <c:ptCount val="50"/>
                <c:pt idx="0">
                  <c:v>4</c:v>
                </c:pt>
                <c:pt idx="1">
                  <c:v>23</c:v>
                </c:pt>
                <c:pt idx="2">
                  <c:v>9</c:v>
                </c:pt>
                <c:pt idx="3">
                  <c:v>4</c:v>
                </c:pt>
                <c:pt idx="4">
                  <c:v>0</c:v>
                </c:pt>
                <c:pt idx="5">
                  <c:v>16</c:v>
                </c:pt>
                <c:pt idx="6">
                  <c:v>11</c:v>
                </c:pt>
                <c:pt idx="7">
                  <c:v>12</c:v>
                </c:pt>
                <c:pt idx="8">
                  <c:v>33</c:v>
                </c:pt>
                <c:pt idx="9">
                  <c:v>1</c:v>
                </c:pt>
                <c:pt idx="10">
                  <c:v>2</c:v>
                </c:pt>
                <c:pt idx="11">
                  <c:v>12</c:v>
                </c:pt>
                <c:pt idx="12">
                  <c:v>20</c:v>
                </c:pt>
                <c:pt idx="13">
                  <c:v>9</c:v>
                </c:pt>
                <c:pt idx="14">
                  <c:v>15</c:v>
                </c:pt>
                <c:pt idx="15">
                  <c:v>96</c:v>
                </c:pt>
                <c:pt idx="16">
                  <c:v>17</c:v>
                </c:pt>
                <c:pt idx="17">
                  <c:v>2</c:v>
                </c:pt>
                <c:pt idx="18">
                  <c:v>44</c:v>
                </c:pt>
                <c:pt idx="19">
                  <c:v>12</c:v>
                </c:pt>
                <c:pt idx="20">
                  <c:v>35</c:v>
                </c:pt>
                <c:pt idx="21">
                  <c:v>26</c:v>
                </c:pt>
                <c:pt idx="22">
                  <c:v>45</c:v>
                </c:pt>
                <c:pt idx="23">
                  <c:v>8</c:v>
                </c:pt>
                <c:pt idx="24">
                  <c:v>12</c:v>
                </c:pt>
                <c:pt idx="25">
                  <c:v>15</c:v>
                </c:pt>
                <c:pt idx="26">
                  <c:v>13</c:v>
                </c:pt>
                <c:pt idx="27">
                  <c:v>32</c:v>
                </c:pt>
                <c:pt idx="28">
                  <c:v>36</c:v>
                </c:pt>
                <c:pt idx="29">
                  <c:v>20</c:v>
                </c:pt>
                <c:pt idx="30">
                  <c:v>8</c:v>
                </c:pt>
                <c:pt idx="31">
                  <c:v>1</c:v>
                </c:pt>
                <c:pt idx="32">
                  <c:v>78</c:v>
                </c:pt>
                <c:pt idx="33">
                  <c:v>16</c:v>
                </c:pt>
                <c:pt idx="34">
                  <c:v>4</c:v>
                </c:pt>
                <c:pt idx="35">
                  <c:v>13</c:v>
                </c:pt>
                <c:pt idx="36">
                  <c:v>6</c:v>
                </c:pt>
                <c:pt idx="37">
                  <c:v>4</c:v>
                </c:pt>
                <c:pt idx="38">
                  <c:v>78</c:v>
                </c:pt>
                <c:pt idx="39">
                  <c:v>4</c:v>
                </c:pt>
                <c:pt idx="40">
                  <c:v>27</c:v>
                </c:pt>
                <c:pt idx="41">
                  <c:v>0</c:v>
                </c:pt>
                <c:pt idx="42">
                  <c:v>42</c:v>
                </c:pt>
                <c:pt idx="43">
                  <c:v>33</c:v>
                </c:pt>
                <c:pt idx="44">
                  <c:v>48</c:v>
                </c:pt>
                <c:pt idx="45">
                  <c:v>17</c:v>
                </c:pt>
                <c:pt idx="46">
                  <c:v>27</c:v>
                </c:pt>
                <c:pt idx="47">
                  <c:v>14</c:v>
                </c:pt>
                <c:pt idx="48">
                  <c:v>31</c:v>
                </c:pt>
                <c:pt idx="49">
                  <c:v>66</c:v>
                </c:pt>
              </c:numCache>
            </c:numRef>
          </c:val>
          <c:extLst>
            <c:ext xmlns:c16="http://schemas.microsoft.com/office/drawing/2014/chart" uri="{C3380CC4-5D6E-409C-BE32-E72D297353CC}">
              <c16:uniqueId val="{00000001-09B7-427B-B57E-59E7C3950588}"/>
            </c:ext>
          </c:extLst>
        </c:ser>
        <c:ser>
          <c:idx val="2"/>
          <c:order val="2"/>
          <c:tx>
            <c:strRef>
              <c:f>'Pivot tables'!$D$15</c:f>
              <c:strCache>
                <c:ptCount val="1"/>
                <c:pt idx="0">
                  <c:v>Sum of Pending</c:v>
                </c:pt>
              </c:strCache>
            </c:strRef>
          </c:tx>
          <c:spPr>
            <a:solidFill>
              <a:schemeClr val="accent5">
                <a:tint val="86000"/>
              </a:schemeClr>
            </a:solidFill>
            <a:ln>
              <a:noFill/>
            </a:ln>
            <a:effectLst/>
          </c:spPr>
          <c:invertIfNegative val="0"/>
          <c:cat>
            <c:strRef>
              <c:f>'Pivot tables'!$A$16:$A$66</c:f>
              <c:strCache>
                <c:ptCount val="50"/>
                <c:pt idx="0">
                  <c:v>AI Chatbot Deployment</c:v>
                </c:pt>
                <c:pt idx="1">
                  <c:v>Analytics Platform Upgrade</c:v>
                </c:pt>
                <c:pt idx="2">
                  <c:v>API Integration Project</c:v>
                </c:pt>
                <c:pt idx="3">
                  <c:v>Backup Automation</c:v>
                </c:pt>
                <c:pt idx="4">
                  <c:v>Budget Planning System</c:v>
                </c:pt>
                <c:pt idx="5">
                  <c:v>Business Intelligence Dashboard</c:v>
                </c:pt>
                <c:pt idx="6">
                  <c:v>Cloud Migration</c:v>
                </c:pt>
                <c:pt idx="7">
                  <c:v>Collaboration Tools Deployment</c:v>
                </c:pt>
                <c:pt idx="8">
                  <c:v>Compliance Monitoring System</c:v>
                </c:pt>
                <c:pt idx="9">
                  <c:v>Content Management System</c:v>
                </c:pt>
                <c:pt idx="10">
                  <c:v>CRM System Upgrade</c:v>
                </c:pt>
                <c:pt idx="11">
                  <c:v>Customer Feedback System</c:v>
                </c:pt>
                <c:pt idx="12">
                  <c:v>Customer Support Optimization</c:v>
                </c:pt>
                <c:pt idx="13">
                  <c:v>Cybersecurity Enhancement</c:v>
                </c:pt>
                <c:pt idx="14">
                  <c:v>Data Governance Framework</c:v>
                </c:pt>
                <c:pt idx="15">
                  <c:v>Data Warehouse Setup</c:v>
                </c:pt>
                <c:pt idx="16">
                  <c:v>Database Optimization</c:v>
                </c:pt>
                <c:pt idx="17">
                  <c:v>Digital Marketing Campaign</c:v>
                </c:pt>
                <c:pt idx="18">
                  <c:v>Disaster Recovery Planning</c:v>
                </c:pt>
                <c:pt idx="19">
                  <c:v>Document Management System</c:v>
                </c:pt>
                <c:pt idx="20">
                  <c:v>E-commerce Platform Launch</c:v>
                </c:pt>
                <c:pt idx="21">
                  <c:v>Email System Migration</c:v>
                </c:pt>
                <c:pt idx="22">
                  <c:v>Employee Engagement Initiative</c:v>
                </c:pt>
                <c:pt idx="23">
                  <c:v>ERP Implementation</c:v>
                </c:pt>
                <c:pt idx="24">
                  <c:v>Financial Reporting Automation</c:v>
                </c:pt>
                <c:pt idx="25">
                  <c:v>HR Digital Transformation</c:v>
                </c:pt>
                <c:pt idx="26">
                  <c:v>Inventory Management System</c:v>
                </c:pt>
                <c:pt idx="27">
                  <c:v>IoT Monitoring System</c:v>
                </c:pt>
                <c:pt idx="28">
                  <c:v>IT Helpdesk Improvement</c:v>
                </c:pt>
                <c:pt idx="29">
                  <c:v>Knowledge Base Development</c:v>
                </c:pt>
                <c:pt idx="30">
                  <c:v>Learning Management System</c:v>
                </c:pt>
                <c:pt idx="31">
                  <c:v>Market Research Analysis</c:v>
                </c:pt>
                <c:pt idx="32">
                  <c:v>Mobile App Development</c:v>
                </c:pt>
                <c:pt idx="33">
                  <c:v>Network Infrastructure Upgrade</c:v>
                </c:pt>
                <c:pt idx="34">
                  <c:v>Payroll Automation</c:v>
                </c:pt>
                <c:pt idx="35">
                  <c:v>Performance Management System</c:v>
                </c:pt>
                <c:pt idx="36">
                  <c:v>Process Improvement Initiative</c:v>
                </c:pt>
                <c:pt idx="37">
                  <c:v>Procurement Automation</c:v>
                </c:pt>
                <c:pt idx="38">
                  <c:v>Product Lifecycle Management</c:v>
                </c:pt>
                <c:pt idx="39">
                  <c:v>Quality Assurance Program</c:v>
                </c:pt>
                <c:pt idx="40">
                  <c:v>Remote Work Infrastructure</c:v>
                </c:pt>
                <c:pt idx="41">
                  <c:v>Risk Management Framework</c:v>
                </c:pt>
                <c:pt idx="42">
                  <c:v>SEO Optimization Project</c:v>
                </c:pt>
                <c:pt idx="43">
                  <c:v>Service Delivery Optimization</c:v>
                </c:pt>
                <c:pt idx="44">
                  <c:v>Smart Reporting Tool</c:v>
                </c:pt>
                <c:pt idx="45">
                  <c:v>Social Media Strategy</c:v>
                </c:pt>
                <c:pt idx="46">
                  <c:v>Supply Chain Optimization</c:v>
                </c:pt>
                <c:pt idx="47">
                  <c:v>Training Program Development</c:v>
                </c:pt>
                <c:pt idx="48">
                  <c:v>Vendor Management Portal</c:v>
                </c:pt>
                <c:pt idx="49">
                  <c:v>Website Redesign</c:v>
                </c:pt>
              </c:strCache>
            </c:strRef>
          </c:cat>
          <c:val>
            <c:numRef>
              <c:f>'Pivot tables'!$D$16:$D$66</c:f>
              <c:numCache>
                <c:formatCode>General</c:formatCode>
                <c:ptCount val="50"/>
                <c:pt idx="0">
                  <c:v>3</c:v>
                </c:pt>
                <c:pt idx="1">
                  <c:v>0</c:v>
                </c:pt>
                <c:pt idx="2">
                  <c:v>10</c:v>
                </c:pt>
                <c:pt idx="3">
                  <c:v>0</c:v>
                </c:pt>
                <c:pt idx="4">
                  <c:v>0</c:v>
                </c:pt>
                <c:pt idx="5">
                  <c:v>0</c:v>
                </c:pt>
                <c:pt idx="6">
                  <c:v>64</c:v>
                </c:pt>
                <c:pt idx="7">
                  <c:v>5</c:v>
                </c:pt>
                <c:pt idx="8">
                  <c:v>3</c:v>
                </c:pt>
                <c:pt idx="9">
                  <c:v>8</c:v>
                </c:pt>
                <c:pt idx="10">
                  <c:v>28</c:v>
                </c:pt>
                <c:pt idx="11">
                  <c:v>0</c:v>
                </c:pt>
                <c:pt idx="12">
                  <c:v>1</c:v>
                </c:pt>
                <c:pt idx="13">
                  <c:v>0</c:v>
                </c:pt>
                <c:pt idx="14">
                  <c:v>20</c:v>
                </c:pt>
                <c:pt idx="15">
                  <c:v>0</c:v>
                </c:pt>
                <c:pt idx="16">
                  <c:v>32</c:v>
                </c:pt>
                <c:pt idx="17">
                  <c:v>20</c:v>
                </c:pt>
                <c:pt idx="18">
                  <c:v>3</c:v>
                </c:pt>
                <c:pt idx="19">
                  <c:v>40</c:v>
                </c:pt>
                <c:pt idx="20">
                  <c:v>36</c:v>
                </c:pt>
                <c:pt idx="21">
                  <c:v>15</c:v>
                </c:pt>
                <c:pt idx="22">
                  <c:v>3</c:v>
                </c:pt>
                <c:pt idx="23">
                  <c:v>46</c:v>
                </c:pt>
                <c:pt idx="24">
                  <c:v>5</c:v>
                </c:pt>
                <c:pt idx="25">
                  <c:v>1</c:v>
                </c:pt>
                <c:pt idx="26">
                  <c:v>23</c:v>
                </c:pt>
                <c:pt idx="27">
                  <c:v>28</c:v>
                </c:pt>
                <c:pt idx="28">
                  <c:v>50</c:v>
                </c:pt>
                <c:pt idx="29">
                  <c:v>9</c:v>
                </c:pt>
                <c:pt idx="30">
                  <c:v>3</c:v>
                </c:pt>
                <c:pt idx="31">
                  <c:v>0</c:v>
                </c:pt>
                <c:pt idx="32">
                  <c:v>0</c:v>
                </c:pt>
                <c:pt idx="33">
                  <c:v>1</c:v>
                </c:pt>
                <c:pt idx="34">
                  <c:v>5</c:v>
                </c:pt>
                <c:pt idx="35">
                  <c:v>3</c:v>
                </c:pt>
                <c:pt idx="36">
                  <c:v>24</c:v>
                </c:pt>
                <c:pt idx="37">
                  <c:v>45</c:v>
                </c:pt>
                <c:pt idx="38">
                  <c:v>6</c:v>
                </c:pt>
                <c:pt idx="39">
                  <c:v>1</c:v>
                </c:pt>
                <c:pt idx="40">
                  <c:v>36</c:v>
                </c:pt>
                <c:pt idx="41">
                  <c:v>0</c:v>
                </c:pt>
                <c:pt idx="42">
                  <c:v>4</c:v>
                </c:pt>
                <c:pt idx="43">
                  <c:v>21</c:v>
                </c:pt>
                <c:pt idx="44">
                  <c:v>1</c:v>
                </c:pt>
                <c:pt idx="45">
                  <c:v>0</c:v>
                </c:pt>
                <c:pt idx="46">
                  <c:v>0</c:v>
                </c:pt>
                <c:pt idx="47">
                  <c:v>11</c:v>
                </c:pt>
                <c:pt idx="48">
                  <c:v>36</c:v>
                </c:pt>
                <c:pt idx="49">
                  <c:v>41</c:v>
                </c:pt>
              </c:numCache>
            </c:numRef>
          </c:val>
          <c:extLst>
            <c:ext xmlns:c16="http://schemas.microsoft.com/office/drawing/2014/chart" uri="{C3380CC4-5D6E-409C-BE32-E72D297353CC}">
              <c16:uniqueId val="{00000002-09B7-427B-B57E-59E7C3950588}"/>
            </c:ext>
          </c:extLst>
        </c:ser>
        <c:ser>
          <c:idx val="3"/>
          <c:order val="3"/>
          <c:tx>
            <c:strRef>
              <c:f>'Pivot tables'!$E$15</c:f>
              <c:strCache>
                <c:ptCount val="1"/>
                <c:pt idx="0">
                  <c:v>Sum of Cancelled</c:v>
                </c:pt>
              </c:strCache>
            </c:strRef>
          </c:tx>
          <c:spPr>
            <a:solidFill>
              <a:schemeClr val="accent5">
                <a:tint val="58000"/>
              </a:schemeClr>
            </a:solidFill>
            <a:ln>
              <a:noFill/>
            </a:ln>
            <a:effectLst/>
          </c:spPr>
          <c:invertIfNegative val="0"/>
          <c:cat>
            <c:strRef>
              <c:f>'Pivot tables'!$A$16:$A$66</c:f>
              <c:strCache>
                <c:ptCount val="50"/>
                <c:pt idx="0">
                  <c:v>AI Chatbot Deployment</c:v>
                </c:pt>
                <c:pt idx="1">
                  <c:v>Analytics Platform Upgrade</c:v>
                </c:pt>
                <c:pt idx="2">
                  <c:v>API Integration Project</c:v>
                </c:pt>
                <c:pt idx="3">
                  <c:v>Backup Automation</c:v>
                </c:pt>
                <c:pt idx="4">
                  <c:v>Budget Planning System</c:v>
                </c:pt>
                <c:pt idx="5">
                  <c:v>Business Intelligence Dashboard</c:v>
                </c:pt>
                <c:pt idx="6">
                  <c:v>Cloud Migration</c:v>
                </c:pt>
                <c:pt idx="7">
                  <c:v>Collaboration Tools Deployment</c:v>
                </c:pt>
                <c:pt idx="8">
                  <c:v>Compliance Monitoring System</c:v>
                </c:pt>
                <c:pt idx="9">
                  <c:v>Content Management System</c:v>
                </c:pt>
                <c:pt idx="10">
                  <c:v>CRM System Upgrade</c:v>
                </c:pt>
                <c:pt idx="11">
                  <c:v>Customer Feedback System</c:v>
                </c:pt>
                <c:pt idx="12">
                  <c:v>Customer Support Optimization</c:v>
                </c:pt>
                <c:pt idx="13">
                  <c:v>Cybersecurity Enhancement</c:v>
                </c:pt>
                <c:pt idx="14">
                  <c:v>Data Governance Framework</c:v>
                </c:pt>
                <c:pt idx="15">
                  <c:v>Data Warehouse Setup</c:v>
                </c:pt>
                <c:pt idx="16">
                  <c:v>Database Optimization</c:v>
                </c:pt>
                <c:pt idx="17">
                  <c:v>Digital Marketing Campaign</c:v>
                </c:pt>
                <c:pt idx="18">
                  <c:v>Disaster Recovery Planning</c:v>
                </c:pt>
                <c:pt idx="19">
                  <c:v>Document Management System</c:v>
                </c:pt>
                <c:pt idx="20">
                  <c:v>E-commerce Platform Launch</c:v>
                </c:pt>
                <c:pt idx="21">
                  <c:v>Email System Migration</c:v>
                </c:pt>
                <c:pt idx="22">
                  <c:v>Employee Engagement Initiative</c:v>
                </c:pt>
                <c:pt idx="23">
                  <c:v>ERP Implementation</c:v>
                </c:pt>
                <c:pt idx="24">
                  <c:v>Financial Reporting Automation</c:v>
                </c:pt>
                <c:pt idx="25">
                  <c:v>HR Digital Transformation</c:v>
                </c:pt>
                <c:pt idx="26">
                  <c:v>Inventory Management System</c:v>
                </c:pt>
                <c:pt idx="27">
                  <c:v>IoT Monitoring System</c:v>
                </c:pt>
                <c:pt idx="28">
                  <c:v>IT Helpdesk Improvement</c:v>
                </c:pt>
                <c:pt idx="29">
                  <c:v>Knowledge Base Development</c:v>
                </c:pt>
                <c:pt idx="30">
                  <c:v>Learning Management System</c:v>
                </c:pt>
                <c:pt idx="31">
                  <c:v>Market Research Analysis</c:v>
                </c:pt>
                <c:pt idx="32">
                  <c:v>Mobile App Development</c:v>
                </c:pt>
                <c:pt idx="33">
                  <c:v>Network Infrastructure Upgrade</c:v>
                </c:pt>
                <c:pt idx="34">
                  <c:v>Payroll Automation</c:v>
                </c:pt>
                <c:pt idx="35">
                  <c:v>Performance Management System</c:v>
                </c:pt>
                <c:pt idx="36">
                  <c:v>Process Improvement Initiative</c:v>
                </c:pt>
                <c:pt idx="37">
                  <c:v>Procurement Automation</c:v>
                </c:pt>
                <c:pt idx="38">
                  <c:v>Product Lifecycle Management</c:v>
                </c:pt>
                <c:pt idx="39">
                  <c:v>Quality Assurance Program</c:v>
                </c:pt>
                <c:pt idx="40">
                  <c:v>Remote Work Infrastructure</c:v>
                </c:pt>
                <c:pt idx="41">
                  <c:v>Risk Management Framework</c:v>
                </c:pt>
                <c:pt idx="42">
                  <c:v>SEO Optimization Project</c:v>
                </c:pt>
                <c:pt idx="43">
                  <c:v>Service Delivery Optimization</c:v>
                </c:pt>
                <c:pt idx="44">
                  <c:v>Smart Reporting Tool</c:v>
                </c:pt>
                <c:pt idx="45">
                  <c:v>Social Media Strategy</c:v>
                </c:pt>
                <c:pt idx="46">
                  <c:v>Supply Chain Optimization</c:v>
                </c:pt>
                <c:pt idx="47">
                  <c:v>Training Program Development</c:v>
                </c:pt>
                <c:pt idx="48">
                  <c:v>Vendor Management Portal</c:v>
                </c:pt>
                <c:pt idx="49">
                  <c:v>Website Redesign</c:v>
                </c:pt>
              </c:strCache>
            </c:strRef>
          </c:cat>
          <c:val>
            <c:numRef>
              <c:f>'Pivot tables'!$E$16:$E$66</c:f>
              <c:numCache>
                <c:formatCode>General</c:formatCode>
                <c:ptCount val="50"/>
                <c:pt idx="0">
                  <c:v>0</c:v>
                </c:pt>
                <c:pt idx="1">
                  <c:v>1</c:v>
                </c:pt>
                <c:pt idx="2">
                  <c:v>9</c:v>
                </c:pt>
                <c:pt idx="3">
                  <c:v>0</c:v>
                </c:pt>
                <c:pt idx="4">
                  <c:v>45</c:v>
                </c:pt>
                <c:pt idx="5">
                  <c:v>4</c:v>
                </c:pt>
                <c:pt idx="6">
                  <c:v>18</c:v>
                </c:pt>
                <c:pt idx="7">
                  <c:v>36</c:v>
                </c:pt>
                <c:pt idx="8">
                  <c:v>0</c:v>
                </c:pt>
                <c:pt idx="9">
                  <c:v>47</c:v>
                </c:pt>
                <c:pt idx="10">
                  <c:v>2</c:v>
                </c:pt>
                <c:pt idx="11">
                  <c:v>0</c:v>
                </c:pt>
                <c:pt idx="12">
                  <c:v>0</c:v>
                </c:pt>
                <c:pt idx="13">
                  <c:v>0</c:v>
                </c:pt>
                <c:pt idx="14">
                  <c:v>5</c:v>
                </c:pt>
                <c:pt idx="15">
                  <c:v>22</c:v>
                </c:pt>
                <c:pt idx="16">
                  <c:v>21</c:v>
                </c:pt>
                <c:pt idx="17">
                  <c:v>18</c:v>
                </c:pt>
                <c:pt idx="18">
                  <c:v>16</c:v>
                </c:pt>
                <c:pt idx="19">
                  <c:v>5</c:v>
                </c:pt>
                <c:pt idx="20">
                  <c:v>2</c:v>
                </c:pt>
                <c:pt idx="21">
                  <c:v>19</c:v>
                </c:pt>
                <c:pt idx="22">
                  <c:v>13</c:v>
                </c:pt>
                <c:pt idx="23">
                  <c:v>1</c:v>
                </c:pt>
                <c:pt idx="24">
                  <c:v>1</c:v>
                </c:pt>
                <c:pt idx="25">
                  <c:v>1</c:v>
                </c:pt>
                <c:pt idx="26">
                  <c:v>3</c:v>
                </c:pt>
                <c:pt idx="27">
                  <c:v>15</c:v>
                </c:pt>
                <c:pt idx="28">
                  <c:v>1</c:v>
                </c:pt>
                <c:pt idx="29">
                  <c:v>1</c:v>
                </c:pt>
                <c:pt idx="30">
                  <c:v>10</c:v>
                </c:pt>
                <c:pt idx="31">
                  <c:v>0</c:v>
                </c:pt>
                <c:pt idx="32">
                  <c:v>0</c:v>
                </c:pt>
                <c:pt idx="33">
                  <c:v>96</c:v>
                </c:pt>
                <c:pt idx="34">
                  <c:v>2</c:v>
                </c:pt>
                <c:pt idx="35">
                  <c:v>3</c:v>
                </c:pt>
                <c:pt idx="36">
                  <c:v>50</c:v>
                </c:pt>
                <c:pt idx="37">
                  <c:v>23</c:v>
                </c:pt>
                <c:pt idx="38">
                  <c:v>2</c:v>
                </c:pt>
                <c:pt idx="39">
                  <c:v>0</c:v>
                </c:pt>
                <c:pt idx="40">
                  <c:v>5</c:v>
                </c:pt>
                <c:pt idx="41">
                  <c:v>0</c:v>
                </c:pt>
                <c:pt idx="42">
                  <c:v>9</c:v>
                </c:pt>
                <c:pt idx="43">
                  <c:v>2</c:v>
                </c:pt>
                <c:pt idx="44">
                  <c:v>13</c:v>
                </c:pt>
                <c:pt idx="45">
                  <c:v>2</c:v>
                </c:pt>
                <c:pt idx="46">
                  <c:v>0</c:v>
                </c:pt>
                <c:pt idx="47">
                  <c:v>7</c:v>
                </c:pt>
                <c:pt idx="48">
                  <c:v>14</c:v>
                </c:pt>
                <c:pt idx="49">
                  <c:v>5</c:v>
                </c:pt>
              </c:numCache>
            </c:numRef>
          </c:val>
          <c:extLst>
            <c:ext xmlns:c16="http://schemas.microsoft.com/office/drawing/2014/chart" uri="{C3380CC4-5D6E-409C-BE32-E72D297353CC}">
              <c16:uniqueId val="{00000003-09B7-427B-B57E-59E7C3950588}"/>
            </c:ext>
          </c:extLst>
        </c:ser>
        <c:dLbls>
          <c:showLegendKey val="0"/>
          <c:showVal val="0"/>
          <c:showCatName val="0"/>
          <c:showSerName val="0"/>
          <c:showPercent val="0"/>
          <c:showBubbleSize val="0"/>
        </c:dLbls>
        <c:gapWidth val="150"/>
        <c:overlap val="100"/>
        <c:axId val="867657919"/>
        <c:axId val="867650239"/>
      </c:barChart>
      <c:catAx>
        <c:axId val="86765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67650239"/>
        <c:crosses val="autoZero"/>
        <c:auto val="1"/>
        <c:lblAlgn val="ctr"/>
        <c:lblOffset val="100"/>
        <c:noMultiLvlLbl val="0"/>
      </c:catAx>
      <c:valAx>
        <c:axId val="867650239"/>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8676579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[projects_progress_dashboard.xlsx]Pivot tables!PivotTable11</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Remarks vs. Total</a:t>
            </a:r>
            <a:r>
              <a:rPr lang="en-US" b="1" baseline="0">
                <a:solidFill>
                  <a:sysClr val="windowText" lastClr="000000"/>
                </a:solidFill>
              </a:rPr>
              <a:t> Tasks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963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963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963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tables'!$B$69</c:f>
              <c:strCache>
                <c:ptCount val="1"/>
                <c:pt idx="0">
                  <c:v>Total</c:v>
                </c:pt>
              </c:strCache>
            </c:strRef>
          </c:tx>
          <c:spPr>
            <a:solidFill>
              <a:srgbClr val="09637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tables'!$A$70:$A$74</c:f>
              <c:strCache>
                <c:ptCount val="4"/>
                <c:pt idx="0">
                  <c:v>Critical</c:v>
                </c:pt>
                <c:pt idx="1">
                  <c:v>Delayed</c:v>
                </c:pt>
                <c:pt idx="2">
                  <c:v>Needs Attention</c:v>
                </c:pt>
                <c:pt idx="3">
                  <c:v>On Track</c:v>
                </c:pt>
              </c:strCache>
            </c:strRef>
          </c:cat>
          <c:val>
            <c:numRef>
              <c:f>'Pivot tables'!$B$70:$B$74</c:f>
              <c:numCache>
                <c:formatCode>General</c:formatCode>
                <c:ptCount val="4"/>
                <c:pt idx="0">
                  <c:v>1564</c:v>
                </c:pt>
                <c:pt idx="1">
                  <c:v>801</c:v>
                </c:pt>
                <c:pt idx="2">
                  <c:v>578</c:v>
                </c:pt>
                <c:pt idx="3">
                  <c:v>1883</c:v>
                </c:pt>
              </c:numCache>
            </c:numRef>
          </c:val>
          <c:extLst>
            <c:ext xmlns:c16="http://schemas.microsoft.com/office/drawing/2014/chart" uri="{C3380CC4-5D6E-409C-BE32-E72D297353CC}">
              <c16:uniqueId val="{00000000-4C0A-4109-8B43-F18E991E69BD}"/>
            </c:ext>
          </c:extLst>
        </c:ser>
        <c:dLbls>
          <c:dLblPos val="outEnd"/>
          <c:showLegendKey val="0"/>
          <c:showVal val="1"/>
          <c:showCatName val="0"/>
          <c:showSerName val="0"/>
          <c:showPercent val="0"/>
          <c:showBubbleSize val="0"/>
        </c:dLbls>
        <c:gapWidth val="182"/>
        <c:axId val="659801519"/>
        <c:axId val="659807279"/>
      </c:barChart>
      <c:catAx>
        <c:axId val="659801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59807279"/>
        <c:crosses val="autoZero"/>
        <c:auto val="1"/>
        <c:lblAlgn val="ctr"/>
        <c:lblOffset val="100"/>
        <c:noMultiLvlLbl val="0"/>
      </c:catAx>
      <c:valAx>
        <c:axId val="659807279"/>
        <c:scaling>
          <c:orientation val="minMax"/>
        </c:scaling>
        <c:delete val="1"/>
        <c:axPos val="b"/>
        <c:numFmt formatCode="General" sourceLinked="1"/>
        <c:majorTickMark val="none"/>
        <c:minorTickMark val="none"/>
        <c:tickLblPos val="nextTo"/>
        <c:crossAx val="659801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xml"/><Relationship Id="rId5" Type="http://schemas.microsoft.com/office/2007/relationships/hdphoto" Target="../media/hdphoto2.wdp"/><Relationship Id="rId10" Type="http://schemas.openxmlformats.org/officeDocument/2006/relationships/image" Target="../media/image7.png"/><Relationship Id="rId4" Type="http://schemas.openxmlformats.org/officeDocument/2006/relationships/image" Target="../media/image3.png"/><Relationship Id="rId9" Type="http://schemas.microsoft.com/office/2007/relationships/hdphoto" Target="../media/hdphoto3.wdp"/><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57147</xdr:colOff>
      <xdr:row>5</xdr:row>
      <xdr:rowOff>123817</xdr:rowOff>
    </xdr:from>
    <xdr:to>
      <xdr:col>23</xdr:col>
      <xdr:colOff>485774</xdr:colOff>
      <xdr:row>43</xdr:row>
      <xdr:rowOff>114294</xdr:rowOff>
    </xdr:to>
    <xdr:sp macro="" textlink="">
      <xdr:nvSpPr>
        <xdr:cNvPr id="11" name="Rectangle: Top Corners Rounded 10">
          <a:extLst>
            <a:ext uri="{FF2B5EF4-FFF2-40B4-BE49-F238E27FC236}">
              <a16:creationId xmlns:a16="http://schemas.microsoft.com/office/drawing/2014/main" id="{1A443156-9C82-4053-A5A0-2DEF1C072506}"/>
            </a:ext>
          </a:extLst>
        </xdr:cNvPr>
        <xdr:cNvSpPr/>
      </xdr:nvSpPr>
      <xdr:spPr>
        <a:xfrm rot="10800000">
          <a:off x="666747" y="1076317"/>
          <a:ext cx="13839827" cy="7229477"/>
        </a:xfrm>
        <a:prstGeom prst="round2SameRect">
          <a:avLst>
            <a:gd name="adj1" fmla="val 5141"/>
            <a:gd name="adj2" fmla="val 0"/>
          </a:avLst>
        </a:prstGeom>
        <a:solidFill>
          <a:srgbClr val="7AB2B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47624</xdr:colOff>
      <xdr:row>1</xdr:row>
      <xdr:rowOff>0</xdr:rowOff>
    </xdr:from>
    <xdr:to>
      <xdr:col>23</xdr:col>
      <xdr:colOff>485775</xdr:colOff>
      <xdr:row>9</xdr:row>
      <xdr:rowOff>95249</xdr:rowOff>
    </xdr:to>
    <xdr:sp macro="" textlink="">
      <xdr:nvSpPr>
        <xdr:cNvPr id="10" name="Rectangle: Top Corners Rounded 9">
          <a:extLst>
            <a:ext uri="{FF2B5EF4-FFF2-40B4-BE49-F238E27FC236}">
              <a16:creationId xmlns:a16="http://schemas.microsoft.com/office/drawing/2014/main" id="{813F2911-BE29-81EC-35A0-C7024FE8F882}"/>
            </a:ext>
          </a:extLst>
        </xdr:cNvPr>
        <xdr:cNvSpPr/>
      </xdr:nvSpPr>
      <xdr:spPr>
        <a:xfrm>
          <a:off x="657224" y="190500"/>
          <a:ext cx="13849351" cy="1619249"/>
        </a:xfrm>
        <a:prstGeom prst="round2SameRect">
          <a:avLst>
            <a:gd name="adj1" fmla="val 16667"/>
            <a:gd name="adj2" fmla="val 0"/>
          </a:avLst>
        </a:prstGeom>
        <a:solidFill>
          <a:srgbClr val="0883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152400</xdr:colOff>
      <xdr:row>2</xdr:row>
      <xdr:rowOff>66675</xdr:rowOff>
    </xdr:from>
    <xdr:to>
      <xdr:col>17</xdr:col>
      <xdr:colOff>342900</xdr:colOff>
      <xdr:row>6</xdr:row>
      <xdr:rowOff>95250</xdr:rowOff>
    </xdr:to>
    <xdr:sp macro="" textlink="">
      <xdr:nvSpPr>
        <xdr:cNvPr id="12" name="TextBox 11">
          <a:extLst>
            <a:ext uri="{FF2B5EF4-FFF2-40B4-BE49-F238E27FC236}">
              <a16:creationId xmlns:a16="http://schemas.microsoft.com/office/drawing/2014/main" id="{DDCF23F6-F900-9DB2-4820-3E9C6FD29651}"/>
            </a:ext>
          </a:extLst>
        </xdr:cNvPr>
        <xdr:cNvSpPr txBox="1"/>
      </xdr:nvSpPr>
      <xdr:spPr>
        <a:xfrm>
          <a:off x="1981200" y="447675"/>
          <a:ext cx="8724900"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cap="none" spc="50">
              <a:ln w="0"/>
              <a:solidFill>
                <a:schemeClr val="bg2"/>
              </a:solidFill>
              <a:effectLst>
                <a:innerShdw blurRad="63500" dist="50800" dir="13500000">
                  <a:srgbClr val="000000">
                    <a:alpha val="50000"/>
                  </a:srgbClr>
                </a:innerShdw>
              </a:effectLst>
            </a:rPr>
            <a:t>PROJECT</a:t>
          </a:r>
          <a:r>
            <a:rPr lang="en-US" sz="4000" b="1" cap="none" spc="50" baseline="0">
              <a:ln w="0"/>
              <a:solidFill>
                <a:schemeClr val="bg2"/>
              </a:solidFill>
              <a:effectLst>
                <a:innerShdw blurRad="63500" dist="50800" dir="13500000">
                  <a:srgbClr val="000000">
                    <a:alpha val="50000"/>
                  </a:srgbClr>
                </a:innerShdw>
              </a:effectLst>
            </a:rPr>
            <a:t> PERFORMANCE DASHBOARD</a:t>
          </a:r>
          <a:endParaRPr lang="en-US" sz="4000" b="1" cap="none" spc="50">
            <a:ln w="0"/>
            <a:solidFill>
              <a:schemeClr val="bg2"/>
            </a:solidFill>
            <a:effectLst>
              <a:innerShdw blurRad="63500" dist="50800" dir="13500000">
                <a:srgbClr val="000000">
                  <a:alpha val="50000"/>
                </a:srgbClr>
              </a:innerShdw>
            </a:effectLst>
          </a:endParaRPr>
        </a:p>
      </xdr:txBody>
    </xdr:sp>
    <xdr:clientData/>
  </xdr:twoCellAnchor>
  <xdr:twoCellAnchor editAs="oneCell">
    <xdr:from>
      <xdr:col>1</xdr:col>
      <xdr:colOff>381000</xdr:colOff>
      <xdr:row>1</xdr:row>
      <xdr:rowOff>142876</xdr:rowOff>
    </xdr:from>
    <xdr:to>
      <xdr:col>3</xdr:col>
      <xdr:colOff>104776</xdr:colOff>
      <xdr:row>6</xdr:row>
      <xdr:rowOff>133352</xdr:rowOff>
    </xdr:to>
    <xdr:pic>
      <xdr:nvPicPr>
        <xdr:cNvPr id="13" name="Picture 12">
          <a:extLst>
            <a:ext uri="{FF2B5EF4-FFF2-40B4-BE49-F238E27FC236}">
              <a16:creationId xmlns:a16="http://schemas.microsoft.com/office/drawing/2014/main" id="{F6F4CDF7-F62E-C065-274D-B6B4463AE2F8}"/>
            </a:ext>
          </a:extLst>
        </xdr:cNvPr>
        <xdr:cNvPicPr>
          <a:picLocks noChangeAspect="1"/>
        </xdr:cNvPicPr>
      </xdr:nvPicPr>
      <xdr:blipFill>
        <a:blip xmlns:r="http://schemas.openxmlformats.org/officeDocument/2006/relationships" r:embed="rId1">
          <a:duotone>
            <a:prstClr val="black"/>
            <a:srgbClr val="FFFFFF">
              <a:tint val="45000"/>
              <a:satMod val="400000"/>
            </a:srgbClr>
          </a:duotone>
          <a:extLst>
            <a:ext uri="{BEBA8EAE-BF5A-486C-A8C5-ECC9F3942E4B}">
              <a14:imgProps xmlns:a14="http://schemas.microsoft.com/office/drawing/2010/main">
                <a14:imgLayer r:embed="rId2">
                  <a14:imgEffect>
                    <a14:backgroundRemoval t="10000" b="90000" l="10000" r="90000">
                      <a14:foregroundMark x1="49082" y1="14388" x2="49082" y2="14388"/>
                      <a14:foregroundMark x1="35510" y1="22653" x2="35510" y2="22653"/>
                      <a14:foregroundMark x1="30204" y1="23061" x2="30204" y2="23061"/>
                      <a14:foregroundMark x1="20408" y1="30918" x2="20408" y2="30918"/>
                      <a14:foregroundMark x1="61837" y1="23061" x2="61837" y2="23061"/>
                      <a14:foregroundMark x1="62653" y1="29796" x2="62653" y2="29796"/>
                      <a14:foregroundMark x1="60714" y1="45612" x2="60714" y2="45612"/>
                      <a14:foregroundMark x1="73571" y1="44184" x2="73571" y2="44184"/>
                      <a14:foregroundMark x1="85612" y1="41531" x2="85612" y2="41531"/>
                    </a14:backgroundRemoval>
                  </a14:imgEffect>
                </a14:imgLayer>
              </a14:imgProps>
            </a:ext>
          </a:extLst>
        </a:blip>
        <a:stretch>
          <a:fillRect/>
        </a:stretch>
      </xdr:blipFill>
      <xdr:spPr>
        <a:xfrm>
          <a:off x="990600" y="333376"/>
          <a:ext cx="942976" cy="942976"/>
        </a:xfrm>
        <a:prstGeom prst="rect">
          <a:avLst/>
        </a:prstGeom>
        <a:ln>
          <a:noFill/>
        </a:ln>
      </xdr:spPr>
    </xdr:pic>
    <xdr:clientData/>
  </xdr:twoCellAnchor>
  <xdr:twoCellAnchor>
    <xdr:from>
      <xdr:col>1</xdr:col>
      <xdr:colOff>304800</xdr:colOff>
      <xdr:row>7</xdr:row>
      <xdr:rowOff>114299</xdr:rowOff>
    </xdr:from>
    <xdr:to>
      <xdr:col>4</xdr:col>
      <xdr:colOff>247650</xdr:colOff>
      <xdr:row>11</xdr:row>
      <xdr:rowOff>123824</xdr:rowOff>
    </xdr:to>
    <xdr:sp macro="" textlink="">
      <xdr:nvSpPr>
        <xdr:cNvPr id="14" name="Rectangle: Rounded Corners 13">
          <a:extLst>
            <a:ext uri="{FF2B5EF4-FFF2-40B4-BE49-F238E27FC236}">
              <a16:creationId xmlns:a16="http://schemas.microsoft.com/office/drawing/2014/main" id="{036128D4-4BE5-BAAE-1146-62F64BFCC362}"/>
            </a:ext>
          </a:extLst>
        </xdr:cNvPr>
        <xdr:cNvSpPr/>
      </xdr:nvSpPr>
      <xdr:spPr>
        <a:xfrm>
          <a:off x="914400" y="1447799"/>
          <a:ext cx="1771650" cy="771525"/>
        </a:xfrm>
        <a:prstGeom prst="roundRect">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8</xdr:row>
      <xdr:rowOff>9525</xdr:rowOff>
    </xdr:from>
    <xdr:to>
      <xdr:col>4</xdr:col>
      <xdr:colOff>95250</xdr:colOff>
      <xdr:row>9</xdr:row>
      <xdr:rowOff>171450</xdr:rowOff>
    </xdr:to>
    <xdr:sp macro="" textlink="'Pivot tables'!B12">
      <xdr:nvSpPr>
        <xdr:cNvPr id="17" name="TextBox 16">
          <a:extLst>
            <a:ext uri="{FF2B5EF4-FFF2-40B4-BE49-F238E27FC236}">
              <a16:creationId xmlns:a16="http://schemas.microsoft.com/office/drawing/2014/main" id="{4375B4DA-56CB-13C8-BF3D-6DC1D9BA74A1}"/>
            </a:ext>
          </a:extLst>
        </xdr:cNvPr>
        <xdr:cNvSpPr txBox="1"/>
      </xdr:nvSpPr>
      <xdr:spPr>
        <a:xfrm>
          <a:off x="1752600" y="1533525"/>
          <a:ext cx="7810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CC0801-CD2D-447F-8633-C16DA88C72A3}" type="TxLink">
            <a:rPr lang="en-US" sz="1800" b="0" i="0" u="none" strike="noStrike">
              <a:solidFill>
                <a:srgbClr val="000000"/>
              </a:solidFill>
              <a:latin typeface="Calibri"/>
              <a:cs typeface="Calibri"/>
            </a:rPr>
            <a:pPr/>
            <a:t>50</a:t>
          </a:fld>
          <a:endParaRPr lang="en-US" sz="1800"/>
        </a:p>
      </xdr:txBody>
    </xdr:sp>
    <xdr:clientData/>
  </xdr:twoCellAnchor>
  <xdr:twoCellAnchor>
    <xdr:from>
      <xdr:col>1</xdr:col>
      <xdr:colOff>380999</xdr:colOff>
      <xdr:row>9</xdr:row>
      <xdr:rowOff>104775</xdr:rowOff>
    </xdr:from>
    <xdr:to>
      <xdr:col>4</xdr:col>
      <xdr:colOff>123824</xdr:colOff>
      <xdr:row>11</xdr:row>
      <xdr:rowOff>76200</xdr:rowOff>
    </xdr:to>
    <xdr:sp macro="" textlink="">
      <xdr:nvSpPr>
        <xdr:cNvPr id="19" name="TextBox 18">
          <a:extLst>
            <a:ext uri="{FF2B5EF4-FFF2-40B4-BE49-F238E27FC236}">
              <a16:creationId xmlns:a16="http://schemas.microsoft.com/office/drawing/2014/main" id="{40CC7466-1D91-4B80-B239-069233A8BE3B}"/>
            </a:ext>
          </a:extLst>
        </xdr:cNvPr>
        <xdr:cNvSpPr txBox="1"/>
      </xdr:nvSpPr>
      <xdr:spPr>
        <a:xfrm>
          <a:off x="990599" y="1819275"/>
          <a:ext cx="15716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Bell MT" panose="02020503060305020303" pitchFamily="18" charset="0"/>
              <a:cs typeface="Calibri"/>
            </a:rPr>
            <a:t>Total</a:t>
          </a:r>
          <a:r>
            <a:rPr lang="en-US" sz="1800" b="1" i="0" u="none" strike="noStrike" baseline="0">
              <a:solidFill>
                <a:srgbClr val="000000"/>
              </a:solidFill>
              <a:latin typeface="Bell MT" panose="02020503060305020303" pitchFamily="18" charset="0"/>
              <a:cs typeface="Calibri"/>
            </a:rPr>
            <a:t> Project</a:t>
          </a:r>
          <a:endParaRPr lang="en-US" sz="1800" b="1" i="0" u="none" strike="noStrike">
            <a:solidFill>
              <a:srgbClr val="000000"/>
            </a:solidFill>
            <a:latin typeface="Bell MT" panose="02020503060305020303" pitchFamily="18" charset="0"/>
            <a:cs typeface="Calibri"/>
          </a:endParaRPr>
        </a:p>
      </xdr:txBody>
    </xdr:sp>
    <xdr:clientData/>
  </xdr:twoCellAnchor>
  <xdr:twoCellAnchor editAs="oneCell">
    <xdr:from>
      <xdr:col>1</xdr:col>
      <xdr:colOff>447676</xdr:colOff>
      <xdr:row>6</xdr:row>
      <xdr:rowOff>104776</xdr:rowOff>
    </xdr:from>
    <xdr:to>
      <xdr:col>2</xdr:col>
      <xdr:colOff>447676</xdr:colOff>
      <xdr:row>9</xdr:row>
      <xdr:rowOff>142876</xdr:rowOff>
    </xdr:to>
    <xdr:pic>
      <xdr:nvPicPr>
        <xdr:cNvPr id="23" name="Picture 22">
          <a:extLst>
            <a:ext uri="{FF2B5EF4-FFF2-40B4-BE49-F238E27FC236}">
              <a16:creationId xmlns:a16="http://schemas.microsoft.com/office/drawing/2014/main" id="{2EC552CB-F22C-2228-1B1E-80F176A77F2D}"/>
            </a:ext>
          </a:extLst>
        </xdr:cNvPr>
        <xdr:cNvPicPr>
          <a:picLocks noChangeAspect="1"/>
        </xdr:cNvPicPr>
      </xdr:nvPicPr>
      <xdr:blipFill>
        <a:blip xmlns:r="http://schemas.openxmlformats.org/officeDocument/2006/relationships" r:embed="rId3">
          <a:duotone>
            <a:prstClr val="black"/>
            <a:schemeClr val="accent5">
              <a:tint val="45000"/>
              <a:satMod val="400000"/>
            </a:schemeClr>
          </a:duotone>
        </a:blip>
        <a:stretch>
          <a:fillRect/>
        </a:stretch>
      </xdr:blipFill>
      <xdr:spPr>
        <a:xfrm>
          <a:off x="1057276" y="1247776"/>
          <a:ext cx="609600" cy="609600"/>
        </a:xfrm>
        <a:prstGeom prst="rect">
          <a:avLst/>
        </a:prstGeom>
      </xdr:spPr>
    </xdr:pic>
    <xdr:clientData/>
  </xdr:twoCellAnchor>
  <xdr:twoCellAnchor>
    <xdr:from>
      <xdr:col>4</xdr:col>
      <xdr:colOff>352425</xdr:colOff>
      <xdr:row>7</xdr:row>
      <xdr:rowOff>104775</xdr:rowOff>
    </xdr:from>
    <xdr:to>
      <xdr:col>7</xdr:col>
      <xdr:colOff>295275</xdr:colOff>
      <xdr:row>11</xdr:row>
      <xdr:rowOff>114300</xdr:rowOff>
    </xdr:to>
    <xdr:sp macro="" textlink="">
      <xdr:nvSpPr>
        <xdr:cNvPr id="24" name="Rectangle: Rounded Corners 23">
          <a:extLst>
            <a:ext uri="{FF2B5EF4-FFF2-40B4-BE49-F238E27FC236}">
              <a16:creationId xmlns:a16="http://schemas.microsoft.com/office/drawing/2014/main" id="{97A5BABC-344B-44B1-A2A5-99610B9A4989}"/>
            </a:ext>
          </a:extLst>
        </xdr:cNvPr>
        <xdr:cNvSpPr/>
      </xdr:nvSpPr>
      <xdr:spPr>
        <a:xfrm>
          <a:off x="2790825" y="1438275"/>
          <a:ext cx="1771650" cy="771525"/>
        </a:xfrm>
        <a:prstGeom prst="roundRect">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581024</xdr:colOff>
      <xdr:row>8</xdr:row>
      <xdr:rowOff>1</xdr:rowOff>
    </xdr:from>
    <xdr:to>
      <xdr:col>7</xdr:col>
      <xdr:colOff>171449</xdr:colOff>
      <xdr:row>9</xdr:row>
      <xdr:rowOff>161926</xdr:rowOff>
    </xdr:to>
    <xdr:sp macro="" textlink="'Pivot tables'!A4">
      <xdr:nvSpPr>
        <xdr:cNvPr id="25" name="TextBox 24">
          <a:extLst>
            <a:ext uri="{FF2B5EF4-FFF2-40B4-BE49-F238E27FC236}">
              <a16:creationId xmlns:a16="http://schemas.microsoft.com/office/drawing/2014/main" id="{62F61670-8B0D-4124-A363-A6A1A78E48FD}"/>
            </a:ext>
          </a:extLst>
        </xdr:cNvPr>
        <xdr:cNvSpPr txBox="1"/>
      </xdr:nvSpPr>
      <xdr:spPr>
        <a:xfrm>
          <a:off x="3629024" y="1524001"/>
          <a:ext cx="8096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992A00-420A-4E8C-AEF0-F1EF48319866}" type="TxLink">
            <a:rPr lang="en-US" sz="1800" b="0" i="0" u="none" strike="noStrike">
              <a:solidFill>
                <a:srgbClr val="000000"/>
              </a:solidFill>
              <a:latin typeface="Calibri"/>
              <a:cs typeface="Calibri"/>
            </a:rPr>
            <a:pPr/>
            <a:t>4826</a:t>
          </a:fld>
          <a:endParaRPr lang="en-US" sz="3200"/>
        </a:p>
      </xdr:txBody>
    </xdr:sp>
    <xdr:clientData/>
  </xdr:twoCellAnchor>
  <xdr:twoCellAnchor>
    <xdr:from>
      <xdr:col>4</xdr:col>
      <xdr:colOff>514350</xdr:colOff>
      <xdr:row>9</xdr:row>
      <xdr:rowOff>95251</xdr:rowOff>
    </xdr:from>
    <xdr:to>
      <xdr:col>7</xdr:col>
      <xdr:colOff>171449</xdr:colOff>
      <xdr:row>11</xdr:row>
      <xdr:rowOff>66676</xdr:rowOff>
    </xdr:to>
    <xdr:sp macro="" textlink="">
      <xdr:nvSpPr>
        <xdr:cNvPr id="26" name="TextBox 25">
          <a:extLst>
            <a:ext uri="{FF2B5EF4-FFF2-40B4-BE49-F238E27FC236}">
              <a16:creationId xmlns:a16="http://schemas.microsoft.com/office/drawing/2014/main" id="{FDEC60CB-B42A-4E56-BD41-C4DD184216A7}"/>
            </a:ext>
          </a:extLst>
        </xdr:cNvPr>
        <xdr:cNvSpPr txBox="1"/>
      </xdr:nvSpPr>
      <xdr:spPr>
        <a:xfrm>
          <a:off x="2952750" y="1809751"/>
          <a:ext cx="148589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Bell MT" panose="02020503060305020303" pitchFamily="18" charset="0"/>
              <a:cs typeface="Calibri"/>
            </a:rPr>
            <a:t>Total</a:t>
          </a:r>
          <a:r>
            <a:rPr lang="en-US" sz="1800" b="1" i="0" u="none" strike="noStrike" baseline="0">
              <a:solidFill>
                <a:srgbClr val="000000"/>
              </a:solidFill>
              <a:latin typeface="Bell MT" panose="02020503060305020303" pitchFamily="18" charset="0"/>
              <a:cs typeface="Calibri"/>
            </a:rPr>
            <a:t> Tasks</a:t>
          </a:r>
          <a:endParaRPr lang="en-US" sz="1800" b="1" i="0" u="none" strike="noStrike">
            <a:solidFill>
              <a:srgbClr val="000000"/>
            </a:solidFill>
            <a:latin typeface="Bell MT" panose="02020503060305020303" pitchFamily="18" charset="0"/>
            <a:cs typeface="Calibri"/>
          </a:endParaRPr>
        </a:p>
      </xdr:txBody>
    </xdr:sp>
    <xdr:clientData/>
  </xdr:twoCellAnchor>
  <xdr:twoCellAnchor>
    <xdr:from>
      <xdr:col>7</xdr:col>
      <xdr:colOff>409575</xdr:colOff>
      <xdr:row>7</xdr:row>
      <xdr:rowOff>95250</xdr:rowOff>
    </xdr:from>
    <xdr:to>
      <xdr:col>10</xdr:col>
      <xdr:colOff>352425</xdr:colOff>
      <xdr:row>11</xdr:row>
      <xdr:rowOff>104775</xdr:rowOff>
    </xdr:to>
    <xdr:sp macro="" textlink="">
      <xdr:nvSpPr>
        <xdr:cNvPr id="27" name="Rectangle: Rounded Corners 26">
          <a:extLst>
            <a:ext uri="{FF2B5EF4-FFF2-40B4-BE49-F238E27FC236}">
              <a16:creationId xmlns:a16="http://schemas.microsoft.com/office/drawing/2014/main" id="{D09DB9CE-0698-4112-A926-F9456A1422DD}"/>
            </a:ext>
          </a:extLst>
        </xdr:cNvPr>
        <xdr:cNvSpPr/>
      </xdr:nvSpPr>
      <xdr:spPr>
        <a:xfrm>
          <a:off x="4676775" y="1428750"/>
          <a:ext cx="1771650" cy="771525"/>
        </a:xfrm>
        <a:prstGeom prst="roundRect">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28574</xdr:colOff>
      <xdr:row>7</xdr:row>
      <xdr:rowOff>180976</xdr:rowOff>
    </xdr:from>
    <xdr:to>
      <xdr:col>10</xdr:col>
      <xdr:colOff>209549</xdr:colOff>
      <xdr:row>9</xdr:row>
      <xdr:rowOff>152401</xdr:rowOff>
    </xdr:to>
    <xdr:sp macro="" textlink="'Pivot tables'!B4">
      <xdr:nvSpPr>
        <xdr:cNvPr id="28" name="TextBox 27">
          <a:extLst>
            <a:ext uri="{FF2B5EF4-FFF2-40B4-BE49-F238E27FC236}">
              <a16:creationId xmlns:a16="http://schemas.microsoft.com/office/drawing/2014/main" id="{D95A286B-3DD2-439A-ADDD-61C660F86365}"/>
            </a:ext>
          </a:extLst>
        </xdr:cNvPr>
        <xdr:cNvSpPr txBox="1"/>
      </xdr:nvSpPr>
      <xdr:spPr>
        <a:xfrm>
          <a:off x="5514974" y="1514476"/>
          <a:ext cx="7905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7122EA-53D5-4026-A786-7D264F10D3FF}" type="TxLink">
            <a:rPr lang="en-US" sz="1800" b="0" i="0" u="none" strike="noStrike">
              <a:solidFill>
                <a:srgbClr val="000000"/>
              </a:solidFill>
              <a:latin typeface="Calibri"/>
              <a:cs typeface="Calibri"/>
            </a:rPr>
            <a:pPr/>
            <a:t>2485</a:t>
          </a:fld>
          <a:endParaRPr lang="en-US" sz="3200"/>
        </a:p>
      </xdr:txBody>
    </xdr:sp>
    <xdr:clientData/>
  </xdr:twoCellAnchor>
  <xdr:twoCellAnchor>
    <xdr:from>
      <xdr:col>7</xdr:col>
      <xdr:colOff>552450</xdr:colOff>
      <xdr:row>9</xdr:row>
      <xdr:rowOff>85726</xdr:rowOff>
    </xdr:from>
    <xdr:to>
      <xdr:col>10</xdr:col>
      <xdr:colOff>228599</xdr:colOff>
      <xdr:row>11</xdr:row>
      <xdr:rowOff>57151</xdr:rowOff>
    </xdr:to>
    <xdr:sp macro="" textlink="">
      <xdr:nvSpPr>
        <xdr:cNvPr id="29" name="TextBox 28">
          <a:extLst>
            <a:ext uri="{FF2B5EF4-FFF2-40B4-BE49-F238E27FC236}">
              <a16:creationId xmlns:a16="http://schemas.microsoft.com/office/drawing/2014/main" id="{113EEADB-2EC0-477D-B37B-2F7A50F34E47}"/>
            </a:ext>
          </a:extLst>
        </xdr:cNvPr>
        <xdr:cNvSpPr txBox="1"/>
      </xdr:nvSpPr>
      <xdr:spPr>
        <a:xfrm>
          <a:off x="4819650" y="1800226"/>
          <a:ext cx="15049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Bell MT" panose="02020503060305020303" pitchFamily="18" charset="0"/>
              <a:cs typeface="Calibri"/>
            </a:rPr>
            <a:t>Total</a:t>
          </a:r>
          <a:r>
            <a:rPr lang="en-US" sz="1800" b="1" i="0" u="none" strike="noStrike" baseline="0">
              <a:solidFill>
                <a:srgbClr val="000000"/>
              </a:solidFill>
              <a:latin typeface="Bell MT" panose="02020503060305020303" pitchFamily="18" charset="0"/>
              <a:cs typeface="Calibri"/>
            </a:rPr>
            <a:t> Passed</a:t>
          </a:r>
          <a:endParaRPr lang="en-US" sz="1800" b="1" i="0" u="none" strike="noStrike">
            <a:solidFill>
              <a:srgbClr val="000000"/>
            </a:solidFill>
            <a:latin typeface="Bell MT" panose="02020503060305020303" pitchFamily="18" charset="0"/>
            <a:cs typeface="Calibri"/>
          </a:endParaRPr>
        </a:p>
      </xdr:txBody>
    </xdr:sp>
    <xdr:clientData/>
  </xdr:twoCellAnchor>
  <xdr:twoCellAnchor>
    <xdr:from>
      <xdr:col>10</xdr:col>
      <xdr:colOff>476250</xdr:colOff>
      <xdr:row>7</xdr:row>
      <xdr:rowOff>95250</xdr:rowOff>
    </xdr:from>
    <xdr:to>
      <xdr:col>13</xdr:col>
      <xdr:colOff>419100</xdr:colOff>
      <xdr:row>11</xdr:row>
      <xdr:rowOff>104775</xdr:rowOff>
    </xdr:to>
    <xdr:sp macro="" textlink="">
      <xdr:nvSpPr>
        <xdr:cNvPr id="30" name="Rectangle: Rounded Corners 29">
          <a:extLst>
            <a:ext uri="{FF2B5EF4-FFF2-40B4-BE49-F238E27FC236}">
              <a16:creationId xmlns:a16="http://schemas.microsoft.com/office/drawing/2014/main" id="{1F1D62F8-0A06-4706-BBEB-7FD841C9D117}"/>
            </a:ext>
          </a:extLst>
        </xdr:cNvPr>
        <xdr:cNvSpPr/>
      </xdr:nvSpPr>
      <xdr:spPr>
        <a:xfrm>
          <a:off x="6572250" y="1428750"/>
          <a:ext cx="1771650" cy="771525"/>
        </a:xfrm>
        <a:prstGeom prst="roundRect">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95249</xdr:colOff>
      <xdr:row>7</xdr:row>
      <xdr:rowOff>180976</xdr:rowOff>
    </xdr:from>
    <xdr:to>
      <xdr:col>13</xdr:col>
      <xdr:colOff>276224</xdr:colOff>
      <xdr:row>9</xdr:row>
      <xdr:rowOff>152401</xdr:rowOff>
    </xdr:to>
    <xdr:sp macro="" textlink="'Pivot tables'!C4">
      <xdr:nvSpPr>
        <xdr:cNvPr id="31" name="TextBox 30">
          <a:extLst>
            <a:ext uri="{FF2B5EF4-FFF2-40B4-BE49-F238E27FC236}">
              <a16:creationId xmlns:a16="http://schemas.microsoft.com/office/drawing/2014/main" id="{74822064-E369-4DD7-BA42-38187E6CDF74}"/>
            </a:ext>
          </a:extLst>
        </xdr:cNvPr>
        <xdr:cNvSpPr txBox="1"/>
      </xdr:nvSpPr>
      <xdr:spPr>
        <a:xfrm>
          <a:off x="7410449" y="1514476"/>
          <a:ext cx="7905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7FCD9A-E53E-47B1-AEED-44A6AC21E47F}" type="TxLink">
            <a:rPr lang="en-US" sz="1800" b="0" i="0" u="none" strike="noStrike">
              <a:solidFill>
                <a:srgbClr val="000000"/>
              </a:solidFill>
              <a:latin typeface="Calibri"/>
              <a:cs typeface="Calibri"/>
            </a:rPr>
            <a:pPr/>
            <a:t>691</a:t>
          </a:fld>
          <a:endParaRPr lang="en-US" sz="4800"/>
        </a:p>
      </xdr:txBody>
    </xdr:sp>
    <xdr:clientData/>
  </xdr:twoCellAnchor>
  <xdr:twoCellAnchor>
    <xdr:from>
      <xdr:col>10</xdr:col>
      <xdr:colOff>552449</xdr:colOff>
      <xdr:row>9</xdr:row>
      <xdr:rowOff>85726</xdr:rowOff>
    </xdr:from>
    <xdr:to>
      <xdr:col>13</xdr:col>
      <xdr:colOff>428625</xdr:colOff>
      <xdr:row>11</xdr:row>
      <xdr:rowOff>57151</xdr:rowOff>
    </xdr:to>
    <xdr:sp macro="" textlink="">
      <xdr:nvSpPr>
        <xdr:cNvPr id="32" name="TextBox 31">
          <a:extLst>
            <a:ext uri="{FF2B5EF4-FFF2-40B4-BE49-F238E27FC236}">
              <a16:creationId xmlns:a16="http://schemas.microsoft.com/office/drawing/2014/main" id="{85DEF692-8BD0-48A3-984C-743F3083897E}"/>
            </a:ext>
          </a:extLst>
        </xdr:cNvPr>
        <xdr:cNvSpPr txBox="1"/>
      </xdr:nvSpPr>
      <xdr:spPr>
        <a:xfrm>
          <a:off x="6648449" y="1800226"/>
          <a:ext cx="170497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Bell MT" panose="02020503060305020303" pitchFamily="18" charset="0"/>
              <a:cs typeface="Calibri"/>
            </a:rPr>
            <a:t>Total</a:t>
          </a:r>
          <a:r>
            <a:rPr lang="en-US" sz="1800" b="1" i="0" u="none" strike="noStrike" baseline="0">
              <a:solidFill>
                <a:srgbClr val="000000"/>
              </a:solidFill>
              <a:latin typeface="Bell MT" panose="02020503060305020303" pitchFamily="18" charset="0"/>
              <a:cs typeface="Calibri"/>
            </a:rPr>
            <a:t> Pending</a:t>
          </a:r>
          <a:endParaRPr lang="en-US" sz="1800" b="1" i="0" u="none" strike="noStrike">
            <a:solidFill>
              <a:srgbClr val="000000"/>
            </a:solidFill>
            <a:latin typeface="Bell MT" panose="02020503060305020303" pitchFamily="18" charset="0"/>
            <a:cs typeface="Calibri"/>
          </a:endParaRPr>
        </a:p>
      </xdr:txBody>
    </xdr:sp>
    <xdr:clientData/>
  </xdr:twoCellAnchor>
  <xdr:twoCellAnchor editAs="oneCell">
    <xdr:from>
      <xdr:col>4</xdr:col>
      <xdr:colOff>523877</xdr:colOff>
      <xdr:row>6</xdr:row>
      <xdr:rowOff>171451</xdr:rowOff>
    </xdr:from>
    <xdr:to>
      <xdr:col>5</xdr:col>
      <xdr:colOff>438151</xdr:colOff>
      <xdr:row>9</xdr:row>
      <xdr:rowOff>123825</xdr:rowOff>
    </xdr:to>
    <xdr:pic>
      <xdr:nvPicPr>
        <xdr:cNvPr id="48" name="Picture 47">
          <a:extLst>
            <a:ext uri="{FF2B5EF4-FFF2-40B4-BE49-F238E27FC236}">
              <a16:creationId xmlns:a16="http://schemas.microsoft.com/office/drawing/2014/main" id="{10D4CA69-105E-FE8F-5DB4-48984D902977}"/>
            </a:ext>
          </a:extLst>
        </xdr:cNvPr>
        <xdr:cNvPicPr>
          <a:picLocks noChangeAspect="1"/>
        </xdr:cNvPicPr>
      </xdr:nvPicPr>
      <xdr:blipFill>
        <a:blip xmlns:r="http://schemas.openxmlformats.org/officeDocument/2006/relationships" r:embed="rId4">
          <a:grayscl/>
          <a:extLst>
            <a:ext uri="{BEBA8EAE-BF5A-486C-A8C5-ECC9F3942E4B}">
              <a14:imgProps xmlns:a14="http://schemas.microsoft.com/office/drawing/2010/main">
                <a14:imgLayer r:embed="rId5">
                  <a14:imgEffect>
                    <a14:backgroundRemoval t="2539" b="99805" l="9961" r="89844">
                      <a14:foregroundMark x1="28125" y1="13672" x2="28125" y2="13672"/>
                      <a14:foregroundMark x1="33789" y1="8594" x2="33789" y2="8594"/>
                      <a14:foregroundMark x1="43750" y1="2734" x2="43750" y2="2734"/>
                      <a14:foregroundMark x1="53320" y1="36914" x2="53320" y2="36914"/>
                      <a14:foregroundMark x1="31250" y1="36719" x2="31250" y2="36719"/>
                      <a14:foregroundMark x1="31641" y1="51367" x2="31641" y2="51367"/>
                      <a14:foregroundMark x1="40820" y1="52344" x2="40820" y2="52344"/>
                      <a14:foregroundMark x1="31641" y1="68750" x2="31641" y2="68750"/>
                      <a14:foregroundMark x1="42578" y1="66211" x2="42578" y2="66211"/>
                      <a14:foregroundMark x1="32227" y1="82813" x2="32227" y2="82813"/>
                      <a14:foregroundMark x1="44141" y1="82422" x2="44141" y2="82422"/>
                      <a14:foregroundMark x1="43945" y1="99805" x2="43945" y2="99805"/>
                    </a14:backgroundRemoval>
                  </a14:imgEffect>
                </a14:imgLayer>
              </a14:imgProps>
            </a:ext>
          </a:extLst>
        </a:blip>
        <a:stretch>
          <a:fillRect/>
        </a:stretch>
      </xdr:blipFill>
      <xdr:spPr>
        <a:xfrm>
          <a:off x="2962277" y="1314451"/>
          <a:ext cx="523874" cy="523874"/>
        </a:xfrm>
        <a:prstGeom prst="rect">
          <a:avLst/>
        </a:prstGeom>
      </xdr:spPr>
    </xdr:pic>
    <xdr:clientData/>
  </xdr:twoCellAnchor>
  <xdr:twoCellAnchor>
    <xdr:from>
      <xdr:col>13</xdr:col>
      <xdr:colOff>514350</xdr:colOff>
      <xdr:row>7</xdr:row>
      <xdr:rowOff>85725</xdr:rowOff>
    </xdr:from>
    <xdr:to>
      <xdr:col>18</xdr:col>
      <xdr:colOff>600076</xdr:colOff>
      <xdr:row>11</xdr:row>
      <xdr:rowOff>95250</xdr:rowOff>
    </xdr:to>
    <xdr:sp macro="" textlink="">
      <xdr:nvSpPr>
        <xdr:cNvPr id="49" name="Rectangle: Rounded Corners 48">
          <a:extLst>
            <a:ext uri="{FF2B5EF4-FFF2-40B4-BE49-F238E27FC236}">
              <a16:creationId xmlns:a16="http://schemas.microsoft.com/office/drawing/2014/main" id="{7F280BEC-542D-4BFF-8B85-2DAE7BB818B9}"/>
            </a:ext>
          </a:extLst>
        </xdr:cNvPr>
        <xdr:cNvSpPr/>
      </xdr:nvSpPr>
      <xdr:spPr>
        <a:xfrm>
          <a:off x="8439150" y="1419225"/>
          <a:ext cx="3133726" cy="771525"/>
        </a:xfrm>
        <a:prstGeom prst="roundRect">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0</xdr:colOff>
      <xdr:row>9</xdr:row>
      <xdr:rowOff>66675</xdr:rowOff>
    </xdr:from>
    <xdr:to>
      <xdr:col>16</xdr:col>
      <xdr:colOff>485776</xdr:colOff>
      <xdr:row>11</xdr:row>
      <xdr:rowOff>38100</xdr:rowOff>
    </xdr:to>
    <xdr:sp macro="" textlink="">
      <xdr:nvSpPr>
        <xdr:cNvPr id="50" name="TextBox 49">
          <a:extLst>
            <a:ext uri="{FF2B5EF4-FFF2-40B4-BE49-F238E27FC236}">
              <a16:creationId xmlns:a16="http://schemas.microsoft.com/office/drawing/2014/main" id="{52EED7A5-A73A-4799-B335-42A195A22BA4}"/>
            </a:ext>
          </a:extLst>
        </xdr:cNvPr>
        <xdr:cNvSpPr txBox="1"/>
      </xdr:nvSpPr>
      <xdr:spPr>
        <a:xfrm>
          <a:off x="8534400" y="1781175"/>
          <a:ext cx="170497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rgbClr val="000000"/>
              </a:solidFill>
              <a:latin typeface="Bell MT" panose="02020503060305020303" pitchFamily="18" charset="0"/>
              <a:cs typeface="Calibri"/>
            </a:rPr>
            <a:t>Completion %</a:t>
          </a:r>
        </a:p>
      </xdr:txBody>
    </xdr:sp>
    <xdr:clientData/>
  </xdr:twoCellAnchor>
  <xdr:twoCellAnchor>
    <xdr:from>
      <xdr:col>16</xdr:col>
      <xdr:colOff>523875</xdr:colOff>
      <xdr:row>7</xdr:row>
      <xdr:rowOff>171450</xdr:rowOff>
    </xdr:from>
    <xdr:to>
      <xdr:col>16</xdr:col>
      <xdr:colOff>523875</xdr:colOff>
      <xdr:row>10</xdr:row>
      <xdr:rowOff>171450</xdr:rowOff>
    </xdr:to>
    <xdr:cxnSp macro="">
      <xdr:nvCxnSpPr>
        <xdr:cNvPr id="52" name="Straight Connector 51">
          <a:extLst>
            <a:ext uri="{FF2B5EF4-FFF2-40B4-BE49-F238E27FC236}">
              <a16:creationId xmlns:a16="http://schemas.microsoft.com/office/drawing/2014/main" id="{0544A751-F440-2828-8F65-E07AC15D5609}"/>
            </a:ext>
          </a:extLst>
        </xdr:cNvPr>
        <xdr:cNvCxnSpPr/>
      </xdr:nvCxnSpPr>
      <xdr:spPr>
        <a:xfrm>
          <a:off x="10277475" y="1504950"/>
          <a:ext cx="0" cy="571500"/>
        </a:xfrm>
        <a:prstGeom prst="line">
          <a:avLst/>
        </a:prstGeom>
        <a:ln w="19050">
          <a:solidFill>
            <a:srgbClr val="09637E"/>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47625</xdr:colOff>
      <xdr:row>7</xdr:row>
      <xdr:rowOff>171450</xdr:rowOff>
    </xdr:from>
    <xdr:to>
      <xdr:col>17</xdr:col>
      <xdr:colOff>123825</xdr:colOff>
      <xdr:row>9</xdr:row>
      <xdr:rowOff>142875</xdr:rowOff>
    </xdr:to>
    <xdr:sp macro="" textlink="'Pivot tables'!D4">
      <xdr:nvSpPr>
        <xdr:cNvPr id="53" name="TextBox 52">
          <a:extLst>
            <a:ext uri="{FF2B5EF4-FFF2-40B4-BE49-F238E27FC236}">
              <a16:creationId xmlns:a16="http://schemas.microsoft.com/office/drawing/2014/main" id="{5C3B7C8B-2100-4549-BB59-D9328E0C366E}"/>
            </a:ext>
          </a:extLst>
        </xdr:cNvPr>
        <xdr:cNvSpPr txBox="1"/>
      </xdr:nvSpPr>
      <xdr:spPr>
        <a:xfrm>
          <a:off x="9191625" y="1504950"/>
          <a:ext cx="12954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3B344E-6368-48FE-A427-B76058A3AC00}" type="TxLink">
            <a:rPr lang="en-US" sz="1800" b="0" i="0" u="none" strike="noStrike">
              <a:solidFill>
                <a:srgbClr val="000000"/>
              </a:solidFill>
              <a:latin typeface="Calibri"/>
              <a:cs typeface="Calibri"/>
            </a:rPr>
            <a:pPr/>
            <a:t>2604.76%</a:t>
          </a:fld>
          <a:endParaRPr lang="en-US" sz="4800"/>
        </a:p>
      </xdr:txBody>
    </xdr:sp>
    <xdr:clientData/>
  </xdr:twoCellAnchor>
  <xdr:twoCellAnchor editAs="oneCell">
    <xdr:from>
      <xdr:col>14</xdr:col>
      <xdr:colOff>152401</xdr:colOff>
      <xdr:row>7</xdr:row>
      <xdr:rowOff>104776</xdr:rowOff>
    </xdr:from>
    <xdr:to>
      <xdr:col>14</xdr:col>
      <xdr:colOff>561975</xdr:colOff>
      <xdr:row>9</xdr:row>
      <xdr:rowOff>133350</xdr:rowOff>
    </xdr:to>
    <xdr:pic>
      <xdr:nvPicPr>
        <xdr:cNvPr id="56" name="Picture 55" descr="Pie chart - Free seo and web icons">
          <a:extLst>
            <a:ext uri="{FF2B5EF4-FFF2-40B4-BE49-F238E27FC236}">
              <a16:creationId xmlns:a16="http://schemas.microsoft.com/office/drawing/2014/main" id="{174EC262-A42B-72CF-A2CE-8E1387598D5A}"/>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686801" y="1438276"/>
          <a:ext cx="409574" cy="409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495299</xdr:colOff>
      <xdr:row>8</xdr:row>
      <xdr:rowOff>47625</xdr:rowOff>
    </xdr:from>
    <xdr:to>
      <xdr:col>18</xdr:col>
      <xdr:colOff>504825</xdr:colOff>
      <xdr:row>11</xdr:row>
      <xdr:rowOff>142875</xdr:rowOff>
    </xdr:to>
    <xdr:sp macro="" textlink="">
      <xdr:nvSpPr>
        <xdr:cNvPr id="57" name="TextBox 56">
          <a:extLst>
            <a:ext uri="{FF2B5EF4-FFF2-40B4-BE49-F238E27FC236}">
              <a16:creationId xmlns:a16="http://schemas.microsoft.com/office/drawing/2014/main" id="{11788FEE-3E2E-458B-A861-741D6C94E66B}"/>
            </a:ext>
          </a:extLst>
        </xdr:cNvPr>
        <xdr:cNvSpPr txBox="1"/>
      </xdr:nvSpPr>
      <xdr:spPr>
        <a:xfrm>
          <a:off x="10248899" y="1571625"/>
          <a:ext cx="1228726"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rgbClr val="000000"/>
              </a:solidFill>
              <a:latin typeface="Bell MT" panose="02020503060305020303" pitchFamily="18" charset="0"/>
              <a:cs typeface="Calibri"/>
            </a:rPr>
            <a:t>Overall</a:t>
          </a:r>
        </a:p>
        <a:p>
          <a:r>
            <a:rPr lang="en-US" sz="1600" b="1" i="0" u="none" strike="noStrike">
              <a:solidFill>
                <a:srgbClr val="000000"/>
              </a:solidFill>
              <a:latin typeface="Bell MT" panose="02020503060305020303" pitchFamily="18" charset="0"/>
              <a:cs typeface="Calibri"/>
            </a:rPr>
            <a:t>Completion </a:t>
          </a:r>
        </a:p>
      </xdr:txBody>
    </xdr:sp>
    <xdr:clientData/>
  </xdr:twoCellAnchor>
  <xdr:twoCellAnchor editAs="oneCell">
    <xdr:from>
      <xdr:col>18</xdr:col>
      <xdr:colOff>104775</xdr:colOff>
      <xdr:row>7</xdr:row>
      <xdr:rowOff>142874</xdr:rowOff>
    </xdr:from>
    <xdr:to>
      <xdr:col>18</xdr:col>
      <xdr:colOff>476250</xdr:colOff>
      <xdr:row>9</xdr:row>
      <xdr:rowOff>133349</xdr:rowOff>
    </xdr:to>
    <xdr:pic>
      <xdr:nvPicPr>
        <xdr:cNvPr id="58" name="Picture 57">
          <a:extLst>
            <a:ext uri="{FF2B5EF4-FFF2-40B4-BE49-F238E27FC236}">
              <a16:creationId xmlns:a16="http://schemas.microsoft.com/office/drawing/2014/main" id="{AD094DE9-7A27-05F5-F150-34B6831BF9A6}"/>
            </a:ext>
          </a:extLst>
        </xdr:cNvPr>
        <xdr:cNvPicPr>
          <a:picLocks noChangeAspect="1"/>
        </xdr:cNvPicPr>
      </xdr:nvPicPr>
      <xdr:blipFill>
        <a:blip xmlns:r="http://schemas.openxmlformats.org/officeDocument/2006/relationships" r:embed="rId7">
          <a:duotone>
            <a:prstClr val="black"/>
            <a:srgbClr val="D9C3A5">
              <a:tint val="50000"/>
              <a:satMod val="180000"/>
            </a:srgbClr>
          </a:duotone>
        </a:blip>
        <a:stretch>
          <a:fillRect/>
        </a:stretch>
      </xdr:blipFill>
      <xdr:spPr>
        <a:xfrm>
          <a:off x="11077575" y="1476374"/>
          <a:ext cx="371475" cy="371475"/>
        </a:xfrm>
        <a:prstGeom prst="rect">
          <a:avLst/>
        </a:prstGeom>
      </xdr:spPr>
    </xdr:pic>
    <xdr:clientData/>
  </xdr:twoCellAnchor>
  <xdr:twoCellAnchor editAs="oneCell">
    <xdr:from>
      <xdr:col>7</xdr:col>
      <xdr:colOff>552450</xdr:colOff>
      <xdr:row>6</xdr:row>
      <xdr:rowOff>152399</xdr:rowOff>
    </xdr:from>
    <xdr:to>
      <xdr:col>8</xdr:col>
      <xdr:colOff>466725</xdr:colOff>
      <xdr:row>9</xdr:row>
      <xdr:rowOff>104774</xdr:rowOff>
    </xdr:to>
    <xdr:pic>
      <xdr:nvPicPr>
        <xdr:cNvPr id="59" name="Picture 58">
          <a:extLst>
            <a:ext uri="{FF2B5EF4-FFF2-40B4-BE49-F238E27FC236}">
              <a16:creationId xmlns:a16="http://schemas.microsoft.com/office/drawing/2014/main" id="{D6C5CEB7-46CF-428A-9606-CCC63793D427}"/>
            </a:ext>
          </a:extLst>
        </xdr:cNvPr>
        <xdr:cNvPicPr>
          <a:picLocks noChangeAspect="1"/>
        </xdr:cNvPicPr>
      </xdr:nvPicPr>
      <xdr:blipFill>
        <a:blip xmlns:r="http://schemas.openxmlformats.org/officeDocument/2006/relationships" r:embed="rId4">
          <a:grayscl/>
          <a:extLst>
            <a:ext uri="{BEBA8EAE-BF5A-486C-A8C5-ECC9F3942E4B}">
              <a14:imgProps xmlns:a14="http://schemas.microsoft.com/office/drawing/2010/main">
                <a14:imgLayer r:embed="rId5">
                  <a14:imgEffect>
                    <a14:backgroundRemoval t="2539" b="99805" l="9961" r="89844">
                      <a14:foregroundMark x1="28125" y1="13672" x2="28125" y2="13672"/>
                      <a14:foregroundMark x1="33789" y1="8594" x2="33789" y2="8594"/>
                      <a14:foregroundMark x1="43750" y1="2734" x2="43750" y2="2734"/>
                      <a14:foregroundMark x1="53320" y1="36914" x2="53320" y2="36914"/>
                      <a14:foregroundMark x1="31250" y1="36719" x2="31250" y2="36719"/>
                      <a14:foregroundMark x1="31641" y1="51367" x2="31641" y2="51367"/>
                      <a14:foregroundMark x1="40820" y1="52344" x2="40820" y2="52344"/>
                      <a14:foregroundMark x1="31641" y1="68750" x2="31641" y2="68750"/>
                      <a14:foregroundMark x1="42578" y1="66211" x2="42578" y2="66211"/>
                      <a14:foregroundMark x1="32227" y1="82813" x2="32227" y2="82813"/>
                      <a14:foregroundMark x1="44141" y1="82422" x2="44141" y2="82422"/>
                      <a14:foregroundMark x1="43945" y1="99805" x2="43945" y2="99805"/>
                    </a14:backgroundRemoval>
                  </a14:imgEffect>
                </a14:imgLayer>
              </a14:imgProps>
            </a:ext>
          </a:extLst>
        </a:blip>
        <a:stretch>
          <a:fillRect/>
        </a:stretch>
      </xdr:blipFill>
      <xdr:spPr>
        <a:xfrm>
          <a:off x="4819650" y="1295399"/>
          <a:ext cx="523875" cy="523875"/>
        </a:xfrm>
        <a:prstGeom prst="rect">
          <a:avLst/>
        </a:prstGeom>
      </xdr:spPr>
    </xdr:pic>
    <xdr:clientData/>
  </xdr:twoCellAnchor>
  <xdr:twoCellAnchor>
    <xdr:from>
      <xdr:col>8</xdr:col>
      <xdr:colOff>209549</xdr:colOff>
      <xdr:row>8</xdr:row>
      <xdr:rowOff>66675</xdr:rowOff>
    </xdr:from>
    <xdr:to>
      <xdr:col>8</xdr:col>
      <xdr:colOff>466724</xdr:colOff>
      <xdr:row>9</xdr:row>
      <xdr:rowOff>123825</xdr:rowOff>
    </xdr:to>
    <xdr:sp macro="" textlink="">
      <xdr:nvSpPr>
        <xdr:cNvPr id="65" name="Oval 64">
          <a:extLst>
            <a:ext uri="{FF2B5EF4-FFF2-40B4-BE49-F238E27FC236}">
              <a16:creationId xmlns:a16="http://schemas.microsoft.com/office/drawing/2014/main" id="{DE385A8C-201A-C960-4A2B-6C30AAE16266}"/>
            </a:ext>
          </a:extLst>
        </xdr:cNvPr>
        <xdr:cNvSpPr/>
      </xdr:nvSpPr>
      <xdr:spPr>
        <a:xfrm>
          <a:off x="5086349" y="1590675"/>
          <a:ext cx="257175" cy="247650"/>
        </a:xfrm>
        <a:prstGeom prst="ellipse">
          <a:avLst/>
        </a:prstGeom>
        <a:solidFill>
          <a:srgbClr val="EB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180976</xdr:colOff>
      <xdr:row>8</xdr:row>
      <xdr:rowOff>19049</xdr:rowOff>
    </xdr:from>
    <xdr:to>
      <xdr:col>8</xdr:col>
      <xdr:colOff>542925</xdr:colOff>
      <xdr:row>9</xdr:row>
      <xdr:rowOff>190498</xdr:rowOff>
    </xdr:to>
    <xdr:pic>
      <xdr:nvPicPr>
        <xdr:cNvPr id="63" name="Picture 62">
          <a:extLst>
            <a:ext uri="{FF2B5EF4-FFF2-40B4-BE49-F238E27FC236}">
              <a16:creationId xmlns:a16="http://schemas.microsoft.com/office/drawing/2014/main" id="{4583AD1E-6659-6D5B-A484-DD047AEAF8B3}"/>
            </a:ext>
          </a:extLst>
        </xdr:cNvPr>
        <xdr:cNvPicPr>
          <a:picLocks noChangeAspect="1"/>
        </xdr:cNvPicPr>
      </xdr:nvPicPr>
      <xdr:blipFill>
        <a:blip xmlns:r="http://schemas.openxmlformats.org/officeDocument/2006/relationships" r:embed="rId8">
          <a:duotone>
            <a:prstClr val="black"/>
            <a:schemeClr val="accent1">
              <a:tint val="45000"/>
              <a:satMod val="400000"/>
            </a:schemeClr>
          </a:duotone>
          <a:extLst>
            <a:ext uri="{BEBA8EAE-BF5A-486C-A8C5-ECC9F3942E4B}">
              <a14:imgProps xmlns:a14="http://schemas.microsoft.com/office/drawing/2010/main">
                <a14:imgLayer r:embed="rId9">
                  <a14:imgEffect>
                    <a14:backgroundRemoval t="10000" b="90000" l="10000" r="90000">
                      <a14:foregroundMark x1="44189" y1="55270" x2="44189" y2="55270"/>
                      <a14:foregroundMark x1="32703" y1="18243" x2="32703" y2="18243"/>
                    </a14:backgroundRemoval>
                  </a14:imgEffect>
                </a14:imgLayer>
              </a14:imgProps>
            </a:ext>
          </a:extLst>
        </a:blip>
        <a:stretch>
          <a:fillRect/>
        </a:stretch>
      </xdr:blipFill>
      <xdr:spPr>
        <a:xfrm>
          <a:off x="5057776" y="1543049"/>
          <a:ext cx="361949" cy="361949"/>
        </a:xfrm>
        <a:prstGeom prst="rect">
          <a:avLst/>
        </a:prstGeom>
      </xdr:spPr>
    </xdr:pic>
    <xdr:clientData/>
  </xdr:twoCellAnchor>
  <xdr:twoCellAnchor editAs="oneCell">
    <xdr:from>
      <xdr:col>10</xdr:col>
      <xdr:colOff>600075</xdr:colOff>
      <xdr:row>6</xdr:row>
      <xdr:rowOff>161926</xdr:rowOff>
    </xdr:from>
    <xdr:to>
      <xdr:col>11</xdr:col>
      <xdr:colOff>514350</xdr:colOff>
      <xdr:row>9</xdr:row>
      <xdr:rowOff>114301</xdr:rowOff>
    </xdr:to>
    <xdr:pic>
      <xdr:nvPicPr>
        <xdr:cNvPr id="66" name="Picture 65">
          <a:extLst>
            <a:ext uri="{FF2B5EF4-FFF2-40B4-BE49-F238E27FC236}">
              <a16:creationId xmlns:a16="http://schemas.microsoft.com/office/drawing/2014/main" id="{4EC135A3-F99E-4F38-B204-C2C6DA00B60E}"/>
            </a:ext>
          </a:extLst>
        </xdr:cNvPr>
        <xdr:cNvPicPr>
          <a:picLocks noChangeAspect="1"/>
        </xdr:cNvPicPr>
      </xdr:nvPicPr>
      <xdr:blipFill>
        <a:blip xmlns:r="http://schemas.openxmlformats.org/officeDocument/2006/relationships" r:embed="rId4">
          <a:grayscl/>
          <a:extLst>
            <a:ext uri="{BEBA8EAE-BF5A-486C-A8C5-ECC9F3942E4B}">
              <a14:imgProps xmlns:a14="http://schemas.microsoft.com/office/drawing/2010/main">
                <a14:imgLayer r:embed="rId5">
                  <a14:imgEffect>
                    <a14:backgroundRemoval t="2539" b="99805" l="9961" r="89844">
                      <a14:foregroundMark x1="28125" y1="13672" x2="28125" y2="13672"/>
                      <a14:foregroundMark x1="33789" y1="8594" x2="33789" y2="8594"/>
                      <a14:foregroundMark x1="43750" y1="2734" x2="43750" y2="2734"/>
                      <a14:foregroundMark x1="53320" y1="36914" x2="53320" y2="36914"/>
                      <a14:foregroundMark x1="31250" y1="36719" x2="31250" y2="36719"/>
                      <a14:foregroundMark x1="31641" y1="51367" x2="31641" y2="51367"/>
                      <a14:foregroundMark x1="40820" y1="52344" x2="40820" y2="52344"/>
                      <a14:foregroundMark x1="31641" y1="68750" x2="31641" y2="68750"/>
                      <a14:foregroundMark x1="42578" y1="66211" x2="42578" y2="66211"/>
                      <a14:foregroundMark x1="32227" y1="82813" x2="32227" y2="82813"/>
                      <a14:foregroundMark x1="44141" y1="82422" x2="44141" y2="82422"/>
                      <a14:foregroundMark x1="43945" y1="99805" x2="43945" y2="99805"/>
                    </a14:backgroundRemoval>
                  </a14:imgEffect>
                </a14:imgLayer>
              </a14:imgProps>
            </a:ext>
          </a:extLst>
        </a:blip>
        <a:stretch>
          <a:fillRect/>
        </a:stretch>
      </xdr:blipFill>
      <xdr:spPr>
        <a:xfrm>
          <a:off x="6696075" y="1304926"/>
          <a:ext cx="523875" cy="523875"/>
        </a:xfrm>
        <a:prstGeom prst="rect">
          <a:avLst/>
        </a:prstGeom>
      </xdr:spPr>
    </xdr:pic>
    <xdr:clientData/>
  </xdr:twoCellAnchor>
  <xdr:twoCellAnchor>
    <xdr:from>
      <xdr:col>11</xdr:col>
      <xdr:colOff>276225</xdr:colOff>
      <xdr:row>8</xdr:row>
      <xdr:rowOff>85725</xdr:rowOff>
    </xdr:from>
    <xdr:to>
      <xdr:col>11</xdr:col>
      <xdr:colOff>533400</xdr:colOff>
      <xdr:row>9</xdr:row>
      <xdr:rowOff>142875</xdr:rowOff>
    </xdr:to>
    <xdr:sp macro="" textlink="">
      <xdr:nvSpPr>
        <xdr:cNvPr id="69" name="Oval 68">
          <a:extLst>
            <a:ext uri="{FF2B5EF4-FFF2-40B4-BE49-F238E27FC236}">
              <a16:creationId xmlns:a16="http://schemas.microsoft.com/office/drawing/2014/main" id="{AB08CA61-491D-4971-9FD8-46476623352F}"/>
            </a:ext>
          </a:extLst>
        </xdr:cNvPr>
        <xdr:cNvSpPr/>
      </xdr:nvSpPr>
      <xdr:spPr>
        <a:xfrm>
          <a:off x="6981825" y="1609725"/>
          <a:ext cx="257175" cy="247650"/>
        </a:xfrm>
        <a:prstGeom prst="ellipse">
          <a:avLst/>
        </a:prstGeom>
        <a:solidFill>
          <a:srgbClr val="EB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266700</xdr:colOff>
      <xdr:row>8</xdr:row>
      <xdr:rowOff>85725</xdr:rowOff>
    </xdr:from>
    <xdr:to>
      <xdr:col>11</xdr:col>
      <xdr:colOff>533400</xdr:colOff>
      <xdr:row>9</xdr:row>
      <xdr:rowOff>161925</xdr:rowOff>
    </xdr:to>
    <xdr:pic>
      <xdr:nvPicPr>
        <xdr:cNvPr id="62" name="Picture 61">
          <a:extLst>
            <a:ext uri="{FF2B5EF4-FFF2-40B4-BE49-F238E27FC236}">
              <a16:creationId xmlns:a16="http://schemas.microsoft.com/office/drawing/2014/main" id="{92A74D53-D0E4-D0AD-91A9-05026F939E95}"/>
            </a:ext>
          </a:extLst>
        </xdr:cNvPr>
        <xdr:cNvPicPr>
          <a:picLocks noChangeAspect="1"/>
        </xdr:cNvPicPr>
      </xdr:nvPicPr>
      <xdr:blipFill>
        <a:blip xmlns:r="http://schemas.openxmlformats.org/officeDocument/2006/relationships" r:embed="rId10"/>
        <a:stretch>
          <a:fillRect/>
        </a:stretch>
      </xdr:blipFill>
      <xdr:spPr>
        <a:xfrm flipH="1">
          <a:off x="6972300" y="1609725"/>
          <a:ext cx="266700" cy="266700"/>
        </a:xfrm>
        <a:prstGeom prst="rect">
          <a:avLst/>
        </a:prstGeom>
      </xdr:spPr>
    </xdr:pic>
    <xdr:clientData/>
  </xdr:twoCellAnchor>
  <xdr:twoCellAnchor>
    <xdr:from>
      <xdr:col>13</xdr:col>
      <xdr:colOff>9525</xdr:colOff>
      <xdr:row>28</xdr:row>
      <xdr:rowOff>133348</xdr:rowOff>
    </xdr:from>
    <xdr:to>
      <xdr:col>19</xdr:col>
      <xdr:colOff>57150</xdr:colOff>
      <xdr:row>42</xdr:row>
      <xdr:rowOff>142876</xdr:rowOff>
    </xdr:to>
    <xdr:sp macro="" textlink="">
      <xdr:nvSpPr>
        <xdr:cNvPr id="74" name="Rectangle: Rounded Corners 73">
          <a:extLst>
            <a:ext uri="{FF2B5EF4-FFF2-40B4-BE49-F238E27FC236}">
              <a16:creationId xmlns:a16="http://schemas.microsoft.com/office/drawing/2014/main" id="{B5A08114-2442-490B-9293-9274607365DA}"/>
            </a:ext>
          </a:extLst>
        </xdr:cNvPr>
        <xdr:cNvSpPr/>
      </xdr:nvSpPr>
      <xdr:spPr>
        <a:xfrm>
          <a:off x="7934325" y="5467348"/>
          <a:ext cx="3705225" cy="2676528"/>
        </a:xfrm>
        <a:prstGeom prst="roundRect">
          <a:avLst>
            <a:gd name="adj" fmla="val 8482"/>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28</xdr:row>
      <xdr:rowOff>133348</xdr:rowOff>
    </xdr:from>
    <xdr:to>
      <xdr:col>19</xdr:col>
      <xdr:colOff>19050</xdr:colOff>
      <xdr:row>43</xdr:row>
      <xdr:rowOff>19048</xdr:rowOff>
    </xdr:to>
    <xdr:graphicFrame macro="">
      <xdr:nvGraphicFramePr>
        <xdr:cNvPr id="75" name="Chart 74">
          <a:extLst>
            <a:ext uri="{FF2B5EF4-FFF2-40B4-BE49-F238E27FC236}">
              <a16:creationId xmlns:a16="http://schemas.microsoft.com/office/drawing/2014/main" id="{585B1A27-B81C-462A-BDD7-18D2E2E57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200026</xdr:colOff>
      <xdr:row>28</xdr:row>
      <xdr:rowOff>142873</xdr:rowOff>
    </xdr:from>
    <xdr:to>
      <xdr:col>7</xdr:col>
      <xdr:colOff>19050</xdr:colOff>
      <xdr:row>42</xdr:row>
      <xdr:rowOff>152401</xdr:rowOff>
    </xdr:to>
    <xdr:sp macro="" textlink="">
      <xdr:nvSpPr>
        <xdr:cNvPr id="76" name="Rectangle: Rounded Corners 75">
          <a:extLst>
            <a:ext uri="{FF2B5EF4-FFF2-40B4-BE49-F238E27FC236}">
              <a16:creationId xmlns:a16="http://schemas.microsoft.com/office/drawing/2014/main" id="{40A6A298-92C6-45BD-8569-DA27C56B3FBF}"/>
            </a:ext>
          </a:extLst>
        </xdr:cNvPr>
        <xdr:cNvSpPr/>
      </xdr:nvSpPr>
      <xdr:spPr>
        <a:xfrm>
          <a:off x="809626" y="5476873"/>
          <a:ext cx="3476624" cy="2676528"/>
        </a:xfrm>
        <a:prstGeom prst="roundRect">
          <a:avLst>
            <a:gd name="adj" fmla="val 8482"/>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190500</xdr:colOff>
      <xdr:row>28</xdr:row>
      <xdr:rowOff>142872</xdr:rowOff>
    </xdr:from>
    <xdr:to>
      <xdr:col>7</xdr:col>
      <xdr:colOff>19050</xdr:colOff>
      <xdr:row>42</xdr:row>
      <xdr:rowOff>114299</xdr:rowOff>
    </xdr:to>
    <xdr:graphicFrame macro="">
      <xdr:nvGraphicFramePr>
        <xdr:cNvPr id="77" name="Chart 76">
          <a:extLst>
            <a:ext uri="{FF2B5EF4-FFF2-40B4-BE49-F238E27FC236}">
              <a16:creationId xmlns:a16="http://schemas.microsoft.com/office/drawing/2014/main" id="{17EFFAD4-B9EB-4E0D-9D0C-3BFD9E506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247650</xdr:colOff>
      <xdr:row>12</xdr:row>
      <xdr:rowOff>76198</xdr:rowOff>
    </xdr:from>
    <xdr:to>
      <xdr:col>19</xdr:col>
      <xdr:colOff>0</xdr:colOff>
      <xdr:row>28</xdr:row>
      <xdr:rowOff>38100</xdr:rowOff>
    </xdr:to>
    <xdr:sp macro="" textlink="">
      <xdr:nvSpPr>
        <xdr:cNvPr id="79" name="Rectangle: Rounded Corners 78">
          <a:extLst>
            <a:ext uri="{FF2B5EF4-FFF2-40B4-BE49-F238E27FC236}">
              <a16:creationId xmlns:a16="http://schemas.microsoft.com/office/drawing/2014/main" id="{1266CF70-3D91-43F5-BCA4-F1DEEB95358F}"/>
            </a:ext>
          </a:extLst>
        </xdr:cNvPr>
        <xdr:cNvSpPr/>
      </xdr:nvSpPr>
      <xdr:spPr>
        <a:xfrm>
          <a:off x="857250" y="2362198"/>
          <a:ext cx="10725150" cy="3009902"/>
        </a:xfrm>
        <a:prstGeom prst="roundRect">
          <a:avLst>
            <a:gd name="adj" fmla="val 8482"/>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361948</xdr:colOff>
      <xdr:row>12</xdr:row>
      <xdr:rowOff>133347</xdr:rowOff>
    </xdr:from>
    <xdr:to>
      <xdr:col>18</xdr:col>
      <xdr:colOff>466725</xdr:colOff>
      <xdr:row>28</xdr:row>
      <xdr:rowOff>9524</xdr:rowOff>
    </xdr:to>
    <xdr:graphicFrame macro="">
      <xdr:nvGraphicFramePr>
        <xdr:cNvPr id="80" name="Chart 79">
          <a:extLst>
            <a:ext uri="{FF2B5EF4-FFF2-40B4-BE49-F238E27FC236}">
              <a16:creationId xmlns:a16="http://schemas.microsoft.com/office/drawing/2014/main" id="{A6C31625-C54B-4387-9D4C-4739C30D1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133350</xdr:colOff>
      <xdr:row>28</xdr:row>
      <xdr:rowOff>123822</xdr:rowOff>
    </xdr:from>
    <xdr:to>
      <xdr:col>12</xdr:col>
      <xdr:colOff>495300</xdr:colOff>
      <xdr:row>42</xdr:row>
      <xdr:rowOff>133349</xdr:rowOff>
    </xdr:to>
    <xdr:sp macro="" textlink="">
      <xdr:nvSpPr>
        <xdr:cNvPr id="81" name="Rectangle: Rounded Corners 80">
          <a:extLst>
            <a:ext uri="{FF2B5EF4-FFF2-40B4-BE49-F238E27FC236}">
              <a16:creationId xmlns:a16="http://schemas.microsoft.com/office/drawing/2014/main" id="{32093303-A7B1-4488-939C-21555E0C5EA9}"/>
            </a:ext>
          </a:extLst>
        </xdr:cNvPr>
        <xdr:cNvSpPr/>
      </xdr:nvSpPr>
      <xdr:spPr>
        <a:xfrm>
          <a:off x="4400550" y="5457822"/>
          <a:ext cx="3409950" cy="2676527"/>
        </a:xfrm>
        <a:prstGeom prst="roundRect">
          <a:avLst>
            <a:gd name="adj" fmla="val 8482"/>
          </a:avLst>
        </a:prstGeom>
        <a:solidFill>
          <a:srgbClr val="EBF4F6"/>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190500</xdr:colOff>
      <xdr:row>29</xdr:row>
      <xdr:rowOff>9525</xdr:rowOff>
    </xdr:from>
    <xdr:to>
      <xdr:col>12</xdr:col>
      <xdr:colOff>438150</xdr:colOff>
      <xdr:row>42</xdr:row>
      <xdr:rowOff>55134</xdr:rowOff>
    </xdr:to>
    <xdr:graphicFrame macro="">
      <xdr:nvGraphicFramePr>
        <xdr:cNvPr id="82" name="Chart 81">
          <a:extLst>
            <a:ext uri="{FF2B5EF4-FFF2-40B4-BE49-F238E27FC236}">
              <a16:creationId xmlns:a16="http://schemas.microsoft.com/office/drawing/2014/main" id="{3C5E9BDF-098F-47CA-A895-AFAF42453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19</xdr:col>
      <xdr:colOff>133349</xdr:colOff>
      <xdr:row>7</xdr:row>
      <xdr:rowOff>76200</xdr:rowOff>
    </xdr:from>
    <xdr:to>
      <xdr:col>23</xdr:col>
      <xdr:colOff>352424</xdr:colOff>
      <xdr:row>20</xdr:row>
      <xdr:rowOff>0</xdr:rowOff>
    </xdr:to>
    <mc:AlternateContent xmlns:mc="http://schemas.openxmlformats.org/markup-compatibility/2006" xmlns:a14="http://schemas.microsoft.com/office/drawing/2010/main">
      <mc:Choice Requires="a14">
        <xdr:graphicFrame macro="">
          <xdr:nvGraphicFramePr>
            <xdr:cNvPr id="85" name="Project Name">
              <a:extLst>
                <a:ext uri="{FF2B5EF4-FFF2-40B4-BE49-F238E27FC236}">
                  <a16:creationId xmlns:a16="http://schemas.microsoft.com/office/drawing/2014/main" id="{579C3C7B-C446-9458-1D47-9B6BC703DA4B}"/>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mlns="">
        <xdr:sp macro="" textlink="">
          <xdr:nvSpPr>
            <xdr:cNvPr id="0" name=""/>
            <xdr:cNvSpPr>
              <a:spLocks noTextEdit="1"/>
            </xdr:cNvSpPr>
          </xdr:nvSpPr>
          <xdr:spPr>
            <a:xfrm>
              <a:off x="11715749" y="1409700"/>
              <a:ext cx="2657475"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123824</xdr:colOff>
      <xdr:row>20</xdr:row>
      <xdr:rowOff>47625</xdr:rowOff>
    </xdr:from>
    <xdr:to>
      <xdr:col>23</xdr:col>
      <xdr:colOff>342899</xdr:colOff>
      <xdr:row>34</xdr:row>
      <xdr:rowOff>66675</xdr:rowOff>
    </xdr:to>
    <mc:AlternateContent xmlns:mc="http://schemas.openxmlformats.org/markup-compatibility/2006" xmlns:a14="http://schemas.microsoft.com/office/drawing/2010/main">
      <mc:Choice Requires="a14">
        <xdr:graphicFrame macro="">
          <xdr:nvGraphicFramePr>
            <xdr:cNvPr id="86" name="Target Date">
              <a:extLst>
                <a:ext uri="{FF2B5EF4-FFF2-40B4-BE49-F238E27FC236}">
                  <a16:creationId xmlns:a16="http://schemas.microsoft.com/office/drawing/2014/main" id="{63BD739C-E17F-F86A-8DA0-7EC5DB34DF2A}"/>
                </a:ext>
              </a:extLst>
            </xdr:cNvPr>
            <xdr:cNvGraphicFramePr/>
          </xdr:nvGraphicFramePr>
          <xdr:xfrm>
            <a:off x="0" y="0"/>
            <a:ext cx="0" cy="0"/>
          </xdr:xfrm>
          <a:graphic>
            <a:graphicData uri="http://schemas.microsoft.com/office/drawing/2010/slicer">
              <sle:slicer xmlns:sle="http://schemas.microsoft.com/office/drawing/2010/slicer" name="Target Date"/>
            </a:graphicData>
          </a:graphic>
        </xdr:graphicFrame>
      </mc:Choice>
      <mc:Fallback xmlns="">
        <xdr:sp macro="" textlink="">
          <xdr:nvSpPr>
            <xdr:cNvPr id="0" name=""/>
            <xdr:cNvSpPr>
              <a:spLocks noTextEdit="1"/>
            </xdr:cNvSpPr>
          </xdr:nvSpPr>
          <xdr:spPr>
            <a:xfrm>
              <a:off x="11706224" y="3857625"/>
              <a:ext cx="2657475" cy="268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123825</xdr:colOff>
      <xdr:row>34</xdr:row>
      <xdr:rowOff>152400</xdr:rowOff>
    </xdr:from>
    <xdr:to>
      <xdr:col>23</xdr:col>
      <xdr:colOff>333375</xdr:colOff>
      <xdr:row>42</xdr:row>
      <xdr:rowOff>104775</xdr:rowOff>
    </xdr:to>
    <mc:AlternateContent xmlns:mc="http://schemas.openxmlformats.org/markup-compatibility/2006" xmlns:a14="http://schemas.microsoft.com/office/drawing/2010/main">
      <mc:Choice Requires="a14">
        <xdr:graphicFrame macro="">
          <xdr:nvGraphicFramePr>
            <xdr:cNvPr id="87" name="Performance Status">
              <a:extLst>
                <a:ext uri="{FF2B5EF4-FFF2-40B4-BE49-F238E27FC236}">
                  <a16:creationId xmlns:a16="http://schemas.microsoft.com/office/drawing/2014/main" id="{95700E51-07CD-FD7B-4C18-3172FC82C5EB}"/>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mlns="">
        <xdr:sp macro="" textlink="">
          <xdr:nvSpPr>
            <xdr:cNvPr id="0" name=""/>
            <xdr:cNvSpPr>
              <a:spLocks noTextEdit="1"/>
            </xdr:cNvSpPr>
          </xdr:nvSpPr>
          <xdr:spPr>
            <a:xfrm>
              <a:off x="11706225" y="6629400"/>
              <a:ext cx="264795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ter" refreshedDate="46107.291554166666" createdVersion="8" refreshedVersion="8" minRefreshableVersion="3" recordCount="50" xr:uid="{CFD5508D-A5BF-4274-BA73-F4C8B4903E3E}">
  <cacheSource type="worksheet">
    <worksheetSource ref="A1:N51" sheet="Data"/>
  </cacheSource>
  <cacheFields count="14">
    <cacheField name="Project Name" numFmtId="0">
      <sharedItems count="50">
        <s v="ERP Implementation"/>
        <s v="CRM System Upgrade"/>
        <s v="Website Redesign"/>
        <s v="Mobile App Development"/>
        <s v="Cloud Migration"/>
        <s v="Cybersecurity Enhancement"/>
        <s v="HR Digital Transformation"/>
        <s v="Payroll Automation"/>
        <s v="Customer Support Optimization"/>
        <s v="Data Warehouse Setup"/>
        <s v="AI Chatbot Deployment"/>
        <s v="Network Infrastructure Upgrade"/>
        <s v="Business Intelligence Dashboard"/>
        <s v="E-commerce Platform Launch"/>
        <s v="IT Helpdesk Improvement"/>
        <s v="Supply Chain Optimization"/>
        <s v="Inventory Management System"/>
        <s v="Quality Assurance Program"/>
        <s v="Digital Marketing Campaign"/>
        <s v="SEO Optimization Project"/>
        <s v="Social Media Strategy"/>
        <s v="Content Management System"/>
        <s v="Learning Management System"/>
        <s v="Employee Engagement Initiative"/>
        <s v="Performance Management System"/>
        <s v="Vendor Management Portal"/>
        <s v="Risk Management Framework"/>
        <s v="Compliance Monitoring System"/>
        <s v="Financial Reporting Automation"/>
        <s v="Budget Planning System"/>
        <s v="Procurement Automation"/>
        <s v="Document Management System"/>
        <s v="Knowledge Base Development"/>
        <s v="API Integration Project"/>
        <s v="Database Optimization"/>
        <s v="Disaster Recovery Planning"/>
        <s v="Backup Automation"/>
        <s v="Email System Migration"/>
        <s v="Collaboration Tools Deployment"/>
        <s v="Remote Work Infrastructure"/>
        <s v="Customer Feedback System"/>
        <s v="Product Lifecycle Management"/>
        <s v="Data Governance Framework"/>
        <s v="Analytics Platform Upgrade"/>
        <s v="IoT Monitoring System"/>
        <s v="Smart Reporting Tool"/>
        <s v="Training Program Development"/>
        <s v="Market Research Analysis"/>
        <s v="Process Improvement Initiative"/>
        <s v="Service Delivery Optimization"/>
      </sharedItems>
    </cacheField>
    <cacheField name="New Activities" numFmtId="0">
      <sharedItems containsSemiMixedTypes="0" containsString="0" containsNumber="1" containsInteger="1" minValue="1" maxValue="30"/>
    </cacheField>
    <cacheField name="Total Tasks" numFmtId="0">
      <sharedItems containsSemiMixedTypes="0" containsString="0" containsNumber="1" containsInteger="1" minValue="27" maxValue="150"/>
    </cacheField>
    <cacheField name="Passed" numFmtId="0">
      <sharedItems containsSemiMixedTypes="0" containsString="0" containsNumber="1" containsInteger="1" minValue="5" maxValue="125"/>
    </cacheField>
    <cacheField name="Deferred" numFmtId="0">
      <sharedItems containsSemiMixedTypes="0" containsString="0" containsNumber="1" containsInteger="1" minValue="0" maxValue="96"/>
    </cacheField>
    <cacheField name="Pending" numFmtId="0">
      <sharedItems containsSemiMixedTypes="0" containsString="0" containsNumber="1" containsInteger="1" minValue="0" maxValue="64"/>
    </cacheField>
    <cacheField name="Cancelled" numFmtId="0">
      <sharedItems containsSemiMixedTypes="0" containsString="0" containsNumber="1" containsInteger="1" minValue="0" maxValue="96"/>
    </cacheField>
    <cacheField name="Target Date" numFmtId="0">
      <sharedItems count="35">
        <s v="2026-06-08"/>
        <s v="2026-04-29"/>
        <s v="2026-07-22"/>
        <s v="2026-04-30"/>
        <s v="2026-06-19"/>
        <s v="2026-04-07"/>
        <s v="2026-07-15"/>
        <s v="2026-06-29"/>
        <s v="2026-05-12"/>
        <s v="2026-06-04"/>
        <s v="2026-07-27"/>
        <s v="2026-04-22"/>
        <s v="2026-04-13"/>
        <s v="2026-05-10"/>
        <s v="2026-05-31"/>
        <s v="2026-06-26"/>
        <s v="2026-07-02"/>
        <s v="2026-05-03"/>
        <s v="2026-05-16"/>
        <s v="2026-06-07"/>
        <s v="2026-07-13"/>
        <s v="2026-04-02"/>
        <s v="2026-05-29"/>
        <s v="2026-07-14"/>
        <s v="2026-06-28"/>
        <s v="2026-07-16"/>
        <s v="2026-05-05"/>
        <s v="2026-06-06"/>
        <s v="2026-07-01"/>
        <s v="2026-07-11"/>
        <s v="2026-07-28"/>
        <s v="2026-06-12"/>
        <s v="2026-04-18"/>
        <s v="2026-06-20"/>
        <s v="2026-04-14"/>
      </sharedItems>
    </cacheField>
    <cacheField name="Remarks" numFmtId="0">
      <sharedItems count="4">
        <s v="Critical"/>
        <s v="On Track"/>
        <s v="Delayed"/>
        <s v="Needs Attention"/>
      </sharedItems>
    </cacheField>
    <cacheField name="Completion %" numFmtId="9">
      <sharedItems containsSemiMixedTypes="0" containsString="0" containsNumber="1" minValue="5.8823529411764705E-2" maxValue="1"/>
    </cacheField>
    <cacheField name="Pending %" numFmtId="9">
      <sharedItems containsSemiMixedTypes="0" containsString="0" containsNumber="1" minValue="0" maxValue="0.46043165467625902"/>
    </cacheField>
    <cacheField name="Cancel %" numFmtId="9">
      <sharedItems containsSemiMixedTypes="0" containsString="0" containsNumber="1" minValue="0" maxValue="0.66206896551724137"/>
    </cacheField>
    <cacheField name="Performance Status" numFmtId="0">
      <sharedItems count="4">
        <s v="Average"/>
        <s v="Poor"/>
        <s v="Good"/>
        <s v="Excellent"/>
      </sharedItems>
    </cacheField>
    <cacheField name="Data Check" numFmtId="0">
      <sharedItems/>
    </cacheField>
  </cacheFields>
  <extLst>
    <ext xmlns:x14="http://schemas.microsoft.com/office/spreadsheetml/2009/9/main" uri="{725AE2AE-9491-48be-B2B4-4EB974FC3084}">
      <x14:pivotCacheDefinition pivotCacheId="756053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20"/>
    <n v="122"/>
    <n v="67"/>
    <n v="8"/>
    <n v="46"/>
    <n v="1"/>
    <x v="0"/>
    <x v="0"/>
    <n v="0.54918032786885251"/>
    <n v="0.37704918032786883"/>
    <n v="8.1967213114754103E-3"/>
    <x v="0"/>
    <s v="OK"/>
  </r>
  <r>
    <x v="1"/>
    <n v="12"/>
    <n v="66"/>
    <n v="34"/>
    <n v="2"/>
    <n v="28"/>
    <n v="2"/>
    <x v="1"/>
    <x v="0"/>
    <n v="0.51515151515151514"/>
    <n v="0.42424242424242425"/>
    <n v="3.0303030303030304E-2"/>
    <x v="0"/>
    <s v="OK"/>
  </r>
  <r>
    <x v="2"/>
    <n v="17"/>
    <n v="149"/>
    <n v="37"/>
    <n v="66"/>
    <n v="41"/>
    <n v="5"/>
    <x v="2"/>
    <x v="1"/>
    <n v="0.24832214765100671"/>
    <n v="0.27516778523489932"/>
    <n v="3.3557046979865772E-2"/>
    <x v="1"/>
    <s v="OK"/>
  </r>
  <r>
    <x v="3"/>
    <n v="8"/>
    <n v="108"/>
    <n v="30"/>
    <n v="78"/>
    <n v="0"/>
    <n v="0"/>
    <x v="3"/>
    <x v="2"/>
    <n v="0.27777777777777779"/>
    <n v="0"/>
    <n v="0"/>
    <x v="1"/>
    <s v="OK"/>
  </r>
  <r>
    <x v="4"/>
    <n v="26"/>
    <n v="139"/>
    <n v="46"/>
    <n v="11"/>
    <n v="64"/>
    <n v="18"/>
    <x v="4"/>
    <x v="2"/>
    <n v="0.33093525179856115"/>
    <n v="0.46043165467625902"/>
    <n v="0.12949640287769784"/>
    <x v="1"/>
    <s v="OK"/>
  </r>
  <r>
    <x v="5"/>
    <n v="21"/>
    <n v="79"/>
    <n v="70"/>
    <n v="9"/>
    <n v="0"/>
    <n v="0"/>
    <x v="5"/>
    <x v="1"/>
    <n v="0.88607594936708856"/>
    <n v="0"/>
    <n v="0"/>
    <x v="2"/>
    <s v="OK"/>
  </r>
  <r>
    <x v="6"/>
    <n v="4"/>
    <n v="28"/>
    <n v="11"/>
    <n v="15"/>
    <n v="1"/>
    <n v="1"/>
    <x v="5"/>
    <x v="1"/>
    <n v="0.39285714285714285"/>
    <n v="3.5714285714285712E-2"/>
    <n v="3.5714285714285712E-2"/>
    <x v="1"/>
    <s v="OK"/>
  </r>
  <r>
    <x v="7"/>
    <n v="5"/>
    <n v="99"/>
    <n v="88"/>
    <n v="4"/>
    <n v="5"/>
    <n v="2"/>
    <x v="6"/>
    <x v="2"/>
    <n v="0.88888888888888884"/>
    <n v="5.0505050505050504E-2"/>
    <n v="2.0202020202020204E-2"/>
    <x v="2"/>
    <s v="OK"/>
  </r>
  <r>
    <x v="8"/>
    <n v="13"/>
    <n v="143"/>
    <n v="122"/>
    <n v="20"/>
    <n v="1"/>
    <n v="0"/>
    <x v="7"/>
    <x v="1"/>
    <n v="0.85314685314685312"/>
    <n v="6.993006993006993E-3"/>
    <n v="0"/>
    <x v="2"/>
    <s v="OK"/>
  </r>
  <r>
    <x v="9"/>
    <n v="25"/>
    <n v="135"/>
    <n v="17"/>
    <n v="96"/>
    <n v="0"/>
    <n v="22"/>
    <x v="8"/>
    <x v="3"/>
    <n v="0.12592592592592591"/>
    <n v="0"/>
    <n v="0.16296296296296298"/>
    <x v="1"/>
    <s v="OK"/>
  </r>
  <r>
    <x v="10"/>
    <n v="21"/>
    <n v="27"/>
    <n v="20"/>
    <n v="4"/>
    <n v="3"/>
    <n v="0"/>
    <x v="9"/>
    <x v="2"/>
    <n v="0.7407407407407407"/>
    <n v="0.1111111111111111"/>
    <n v="0"/>
    <x v="2"/>
    <s v="OK"/>
  </r>
  <r>
    <x v="11"/>
    <n v="19"/>
    <n v="145"/>
    <n v="32"/>
    <n v="16"/>
    <n v="1"/>
    <n v="96"/>
    <x v="10"/>
    <x v="1"/>
    <n v="0.22068965517241379"/>
    <n v="6.8965517241379309E-3"/>
    <n v="0.66206896551724137"/>
    <x v="1"/>
    <s v="OK"/>
  </r>
  <r>
    <x v="12"/>
    <n v="23"/>
    <n v="63"/>
    <n v="43"/>
    <n v="16"/>
    <n v="0"/>
    <n v="4"/>
    <x v="11"/>
    <x v="2"/>
    <n v="0.68253968253968256"/>
    <n v="0"/>
    <n v="6.3492063492063489E-2"/>
    <x v="0"/>
    <s v="OK"/>
  </r>
  <r>
    <x v="13"/>
    <n v="8"/>
    <n v="125"/>
    <n v="52"/>
    <n v="35"/>
    <n v="36"/>
    <n v="2"/>
    <x v="12"/>
    <x v="0"/>
    <n v="0.41599999999999998"/>
    <n v="0.28799999999999998"/>
    <n v="1.6E-2"/>
    <x v="1"/>
    <s v="OK"/>
  </r>
  <r>
    <x v="14"/>
    <n v="9"/>
    <n v="142"/>
    <n v="55"/>
    <n v="36"/>
    <n v="50"/>
    <n v="1"/>
    <x v="13"/>
    <x v="1"/>
    <n v="0.38732394366197181"/>
    <n v="0.352112676056338"/>
    <n v="7.0422535211267607E-3"/>
    <x v="1"/>
    <s v="OK"/>
  </r>
  <r>
    <x v="15"/>
    <n v="14"/>
    <n v="36"/>
    <n v="9"/>
    <n v="27"/>
    <n v="0"/>
    <n v="0"/>
    <x v="14"/>
    <x v="1"/>
    <n v="0.25"/>
    <n v="0"/>
    <n v="0"/>
    <x v="1"/>
    <s v="OK"/>
  </r>
  <r>
    <x v="16"/>
    <n v="18"/>
    <n v="125"/>
    <n v="86"/>
    <n v="13"/>
    <n v="23"/>
    <n v="3"/>
    <x v="2"/>
    <x v="1"/>
    <n v="0.68799999999999994"/>
    <n v="0.184"/>
    <n v="2.4E-2"/>
    <x v="0"/>
    <s v="OK"/>
  </r>
  <r>
    <x v="17"/>
    <n v="21"/>
    <n v="31"/>
    <n v="26"/>
    <n v="4"/>
    <n v="1"/>
    <n v="0"/>
    <x v="2"/>
    <x v="0"/>
    <n v="0.83870967741935487"/>
    <n v="3.2258064516129031E-2"/>
    <n v="0"/>
    <x v="2"/>
    <s v="OK"/>
  </r>
  <r>
    <x v="18"/>
    <n v="18"/>
    <n v="60"/>
    <n v="20"/>
    <n v="2"/>
    <n v="20"/>
    <n v="18"/>
    <x v="15"/>
    <x v="0"/>
    <n v="0.33333333333333331"/>
    <n v="0.33333333333333331"/>
    <n v="0.3"/>
    <x v="1"/>
    <s v="OK"/>
  </r>
  <r>
    <x v="19"/>
    <n v="15"/>
    <n v="81"/>
    <n v="26"/>
    <n v="42"/>
    <n v="4"/>
    <n v="9"/>
    <x v="16"/>
    <x v="0"/>
    <n v="0.32098765432098764"/>
    <n v="4.9382716049382713E-2"/>
    <n v="0.1111111111111111"/>
    <x v="1"/>
    <s v="OK"/>
  </r>
  <r>
    <x v="20"/>
    <n v="12"/>
    <n v="144"/>
    <n v="125"/>
    <n v="17"/>
    <n v="0"/>
    <n v="2"/>
    <x v="17"/>
    <x v="2"/>
    <n v="0.86805555555555558"/>
    <n v="0"/>
    <n v="1.3888888888888888E-2"/>
    <x v="2"/>
    <s v="OK"/>
  </r>
  <r>
    <x v="21"/>
    <n v="19"/>
    <n v="93"/>
    <n v="37"/>
    <n v="1"/>
    <n v="8"/>
    <n v="47"/>
    <x v="8"/>
    <x v="0"/>
    <n v="0.39784946236559138"/>
    <n v="8.6021505376344093E-2"/>
    <n v="0.5053763440860215"/>
    <x v="1"/>
    <s v="OK"/>
  </r>
  <r>
    <x v="22"/>
    <n v="16"/>
    <n v="64"/>
    <n v="43"/>
    <n v="8"/>
    <n v="3"/>
    <n v="10"/>
    <x v="5"/>
    <x v="3"/>
    <n v="0.671875"/>
    <n v="4.6875E-2"/>
    <n v="0.15625"/>
    <x v="0"/>
    <s v="OK"/>
  </r>
  <r>
    <x v="23"/>
    <n v="10"/>
    <n v="136"/>
    <n v="75"/>
    <n v="45"/>
    <n v="3"/>
    <n v="13"/>
    <x v="18"/>
    <x v="2"/>
    <n v="0.55147058823529416"/>
    <n v="2.2058823529411766E-2"/>
    <n v="9.5588235294117641E-2"/>
    <x v="0"/>
    <s v="OK"/>
  </r>
  <r>
    <x v="24"/>
    <n v="10"/>
    <n v="109"/>
    <n v="90"/>
    <n v="13"/>
    <n v="3"/>
    <n v="3"/>
    <x v="19"/>
    <x v="0"/>
    <n v="0.82568807339449546"/>
    <n v="2.7522935779816515E-2"/>
    <n v="2.7522935779816515E-2"/>
    <x v="2"/>
    <s v="OK"/>
  </r>
  <r>
    <x v="25"/>
    <n v="8"/>
    <n v="142"/>
    <n v="61"/>
    <n v="31"/>
    <n v="36"/>
    <n v="14"/>
    <x v="20"/>
    <x v="0"/>
    <n v="0.42957746478873238"/>
    <n v="0.25352112676056338"/>
    <n v="9.8591549295774641E-2"/>
    <x v="1"/>
    <s v="OK"/>
  </r>
  <r>
    <x v="26"/>
    <n v="1"/>
    <n v="61"/>
    <n v="61"/>
    <n v="0"/>
    <n v="0"/>
    <n v="0"/>
    <x v="4"/>
    <x v="0"/>
    <n v="1"/>
    <n v="0"/>
    <n v="0"/>
    <x v="3"/>
    <s v="OK"/>
  </r>
  <r>
    <x v="27"/>
    <n v="28"/>
    <n v="125"/>
    <n v="89"/>
    <n v="33"/>
    <n v="3"/>
    <n v="0"/>
    <x v="21"/>
    <x v="1"/>
    <n v="0.71199999999999997"/>
    <n v="2.4E-2"/>
    <n v="0"/>
    <x v="2"/>
    <s v="OK"/>
  </r>
  <r>
    <x v="28"/>
    <n v="17"/>
    <n v="114"/>
    <n v="96"/>
    <n v="12"/>
    <n v="5"/>
    <n v="1"/>
    <x v="5"/>
    <x v="0"/>
    <n v="0.84210526315789469"/>
    <n v="4.3859649122807015E-2"/>
    <n v="8.771929824561403E-3"/>
    <x v="2"/>
    <s v="OK"/>
  </r>
  <r>
    <x v="29"/>
    <n v="24"/>
    <n v="125"/>
    <n v="80"/>
    <n v="0"/>
    <n v="0"/>
    <n v="45"/>
    <x v="1"/>
    <x v="0"/>
    <n v="0.64"/>
    <n v="0"/>
    <n v="0.36"/>
    <x v="0"/>
    <s v="OK"/>
  </r>
  <r>
    <x v="30"/>
    <n v="15"/>
    <n v="133"/>
    <n v="61"/>
    <n v="4"/>
    <n v="45"/>
    <n v="23"/>
    <x v="22"/>
    <x v="1"/>
    <n v="0.45864661654135336"/>
    <n v="0.33834586466165412"/>
    <n v="0.17293233082706766"/>
    <x v="1"/>
    <s v="OK"/>
  </r>
  <r>
    <x v="31"/>
    <n v="27"/>
    <n v="110"/>
    <n v="53"/>
    <n v="12"/>
    <n v="40"/>
    <n v="5"/>
    <x v="23"/>
    <x v="0"/>
    <n v="0.48181818181818181"/>
    <n v="0.36363636363636365"/>
    <n v="4.5454545454545456E-2"/>
    <x v="1"/>
    <s v="OK"/>
  </r>
  <r>
    <x v="32"/>
    <n v="30"/>
    <n v="35"/>
    <n v="5"/>
    <n v="20"/>
    <n v="9"/>
    <n v="1"/>
    <x v="2"/>
    <x v="3"/>
    <n v="0.14285714285714285"/>
    <n v="0.25714285714285712"/>
    <n v="2.8571428571428571E-2"/>
    <x v="1"/>
    <s v="OK"/>
  </r>
  <r>
    <x v="33"/>
    <n v="8"/>
    <n v="78"/>
    <n v="50"/>
    <n v="9"/>
    <n v="10"/>
    <n v="9"/>
    <x v="24"/>
    <x v="3"/>
    <n v="0.64102564102564108"/>
    <n v="0.12820512820512819"/>
    <n v="0.11538461538461539"/>
    <x v="0"/>
    <s v="OK"/>
  </r>
  <r>
    <x v="34"/>
    <n v="29"/>
    <n v="101"/>
    <n v="31"/>
    <n v="17"/>
    <n v="32"/>
    <n v="21"/>
    <x v="25"/>
    <x v="1"/>
    <n v="0.30693069306930693"/>
    <n v="0.31683168316831684"/>
    <n v="0.20792079207920791"/>
    <x v="1"/>
    <s v="OK"/>
  </r>
  <r>
    <x v="35"/>
    <n v="21"/>
    <n v="150"/>
    <n v="87"/>
    <n v="44"/>
    <n v="3"/>
    <n v="16"/>
    <x v="10"/>
    <x v="1"/>
    <n v="0.57999999999999996"/>
    <n v="0.02"/>
    <n v="0.10666666666666667"/>
    <x v="0"/>
    <s v="OK"/>
  </r>
  <r>
    <x v="36"/>
    <n v="12"/>
    <n v="76"/>
    <n v="72"/>
    <n v="4"/>
    <n v="0"/>
    <n v="0"/>
    <x v="17"/>
    <x v="3"/>
    <n v="0.94736842105263153"/>
    <n v="0"/>
    <n v="0"/>
    <x v="3"/>
    <s v="OK"/>
  </r>
  <r>
    <x v="37"/>
    <n v="15"/>
    <n v="108"/>
    <n v="48"/>
    <n v="26"/>
    <n v="15"/>
    <n v="19"/>
    <x v="26"/>
    <x v="3"/>
    <n v="0.44444444444444442"/>
    <n v="0.1388888888888889"/>
    <n v="0.17592592592592593"/>
    <x v="1"/>
    <s v="OK"/>
  </r>
  <r>
    <x v="38"/>
    <n v="14"/>
    <n v="122"/>
    <n v="69"/>
    <n v="12"/>
    <n v="5"/>
    <n v="36"/>
    <x v="8"/>
    <x v="0"/>
    <n v="0.56557377049180324"/>
    <n v="4.0983606557377046E-2"/>
    <n v="0.29508196721311475"/>
    <x v="0"/>
    <s v="OK"/>
  </r>
  <r>
    <x v="39"/>
    <n v="21"/>
    <n v="85"/>
    <n v="17"/>
    <n v="27"/>
    <n v="36"/>
    <n v="5"/>
    <x v="27"/>
    <x v="1"/>
    <n v="0.2"/>
    <n v="0.42352941176470588"/>
    <n v="5.8823529411764705E-2"/>
    <x v="1"/>
    <s v="OK"/>
  </r>
  <r>
    <x v="40"/>
    <n v="19"/>
    <n v="44"/>
    <n v="32"/>
    <n v="12"/>
    <n v="0"/>
    <n v="0"/>
    <x v="28"/>
    <x v="1"/>
    <n v="0.72727272727272729"/>
    <n v="0"/>
    <n v="0"/>
    <x v="2"/>
    <s v="OK"/>
  </r>
  <r>
    <x v="41"/>
    <n v="5"/>
    <n v="131"/>
    <n v="45"/>
    <n v="78"/>
    <n v="6"/>
    <n v="2"/>
    <x v="8"/>
    <x v="0"/>
    <n v="0.34351145038167941"/>
    <n v="4.5801526717557252E-2"/>
    <n v="1.5267175572519083E-2"/>
    <x v="1"/>
    <s v="OK"/>
  </r>
  <r>
    <x v="42"/>
    <n v="25"/>
    <n v="83"/>
    <n v="43"/>
    <n v="15"/>
    <n v="20"/>
    <n v="5"/>
    <x v="29"/>
    <x v="1"/>
    <n v="0.51807228915662651"/>
    <n v="0.24096385542168675"/>
    <n v="6.0240963855421686E-2"/>
    <x v="0"/>
    <s v="OK"/>
  </r>
  <r>
    <x v="43"/>
    <n v="7"/>
    <n v="60"/>
    <n v="36"/>
    <n v="23"/>
    <n v="0"/>
    <n v="1"/>
    <x v="30"/>
    <x v="1"/>
    <n v="0.6"/>
    <n v="0"/>
    <n v="1.6666666666666666E-2"/>
    <x v="0"/>
    <s v="OK"/>
  </r>
  <r>
    <x v="44"/>
    <n v="8"/>
    <n v="82"/>
    <n v="7"/>
    <n v="32"/>
    <n v="28"/>
    <n v="15"/>
    <x v="13"/>
    <x v="3"/>
    <n v="8.5365853658536592E-2"/>
    <n v="0.34146341463414637"/>
    <n v="0.18292682926829268"/>
    <x v="1"/>
    <s v="OK"/>
  </r>
  <r>
    <x v="45"/>
    <n v="26"/>
    <n v="72"/>
    <n v="10"/>
    <n v="48"/>
    <n v="1"/>
    <n v="13"/>
    <x v="1"/>
    <x v="0"/>
    <n v="0.1388888888888889"/>
    <n v="1.3888888888888888E-2"/>
    <n v="0.18055555555555555"/>
    <x v="1"/>
    <s v="OK"/>
  </r>
  <r>
    <x v="46"/>
    <n v="21"/>
    <n v="47"/>
    <n v="15"/>
    <n v="14"/>
    <n v="11"/>
    <n v="7"/>
    <x v="31"/>
    <x v="1"/>
    <n v="0.31914893617021278"/>
    <n v="0.23404255319148937"/>
    <n v="0.14893617021276595"/>
    <x v="1"/>
    <s v="OK"/>
  </r>
  <r>
    <x v="47"/>
    <n v="18"/>
    <n v="61"/>
    <n v="60"/>
    <n v="1"/>
    <n v="0"/>
    <n v="0"/>
    <x v="32"/>
    <x v="1"/>
    <n v="0.98360655737704916"/>
    <n v="0"/>
    <n v="0"/>
    <x v="3"/>
    <s v="OK"/>
  </r>
  <r>
    <x v="48"/>
    <n v="30"/>
    <n v="85"/>
    <n v="5"/>
    <n v="6"/>
    <n v="24"/>
    <n v="50"/>
    <x v="33"/>
    <x v="2"/>
    <n v="5.8823529411764705E-2"/>
    <n v="0.28235294117647058"/>
    <n v="0.58823529411764708"/>
    <x v="1"/>
    <s v="OK"/>
  </r>
  <r>
    <x v="49"/>
    <n v="30"/>
    <n v="147"/>
    <n v="91"/>
    <n v="33"/>
    <n v="21"/>
    <n v="2"/>
    <x v="34"/>
    <x v="1"/>
    <n v="0.61904761904761907"/>
    <n v="0.14285714285714285"/>
    <n v="1.3605442176870748E-2"/>
    <x v="0"/>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A45374-6CC6-432B-9259-3C179220698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85:B90" firstHeaderRow="1" firstDataRow="1" firstDataCol="1"/>
  <pivotFields count="14">
    <pivotField showAll="0">
      <items count="51">
        <item x="10"/>
        <item x="43"/>
        <item x="33"/>
        <item x="36"/>
        <item x="29"/>
        <item x="12"/>
        <item x="4"/>
        <item x="38"/>
        <item x="27"/>
        <item x="21"/>
        <item x="1"/>
        <item x="40"/>
        <item x="8"/>
        <item x="5"/>
        <item x="42"/>
        <item x="9"/>
        <item x="34"/>
        <item x="18"/>
        <item x="35"/>
        <item x="31"/>
        <item x="13"/>
        <item x="37"/>
        <item x="23"/>
        <item x="0"/>
        <item x="28"/>
        <item x="6"/>
        <item x="16"/>
        <item x="44"/>
        <item x="14"/>
        <item x="32"/>
        <item x="22"/>
        <item x="47"/>
        <item x="3"/>
        <item x="11"/>
        <item x="7"/>
        <item x="24"/>
        <item x="48"/>
        <item x="30"/>
        <item x="41"/>
        <item x="17"/>
        <item x="39"/>
        <item x="26"/>
        <item x="19"/>
        <item x="49"/>
        <item x="45"/>
        <item x="20"/>
        <item x="15"/>
        <item x="46"/>
        <item x="25"/>
        <item x="2"/>
        <item t="default"/>
      </items>
    </pivotField>
    <pivotField showAll="0"/>
    <pivotField dataField="1" showAll="0"/>
    <pivotField showAll="0"/>
    <pivotField showAll="0"/>
    <pivotField showAll="0"/>
    <pivotField showAll="0"/>
    <pivotField showAll="0">
      <items count="36">
        <item x="21"/>
        <item x="5"/>
        <item x="12"/>
        <item x="34"/>
        <item x="32"/>
        <item x="11"/>
        <item x="1"/>
        <item x="3"/>
        <item x="17"/>
        <item x="26"/>
        <item x="13"/>
        <item x="8"/>
        <item x="18"/>
        <item x="22"/>
        <item x="14"/>
        <item x="9"/>
        <item x="27"/>
        <item x="19"/>
        <item x="0"/>
        <item x="31"/>
        <item x="4"/>
        <item x="33"/>
        <item x="15"/>
        <item x="24"/>
        <item x="7"/>
        <item x="28"/>
        <item x="16"/>
        <item x="29"/>
        <item x="20"/>
        <item x="23"/>
        <item x="6"/>
        <item x="25"/>
        <item x="2"/>
        <item x="10"/>
        <item x="30"/>
        <item t="default"/>
      </items>
    </pivotField>
    <pivotField showAll="0">
      <items count="5">
        <item x="0"/>
        <item x="2"/>
        <item x="3"/>
        <item x="1"/>
        <item t="default"/>
      </items>
    </pivotField>
    <pivotField numFmtId="9" showAll="0"/>
    <pivotField numFmtId="9" showAll="0"/>
    <pivotField numFmtId="9" showAll="0"/>
    <pivotField axis="axisRow" showAll="0">
      <items count="5">
        <item x="0"/>
        <item x="3"/>
        <item x="2"/>
        <item x="1"/>
        <item t="default"/>
      </items>
    </pivotField>
    <pivotField showAll="0"/>
  </pivotFields>
  <rowFields count="1">
    <field x="12"/>
  </rowFields>
  <rowItems count="5">
    <i>
      <x/>
    </i>
    <i>
      <x v="1"/>
    </i>
    <i>
      <x v="2"/>
    </i>
    <i>
      <x v="3"/>
    </i>
    <i t="grand">
      <x/>
    </i>
  </rowItems>
  <colItems count="1">
    <i/>
  </colItems>
  <dataFields count="1">
    <dataField name="Sum of Total Tasks" fld="2" baseField="0" baseItem="0"/>
  </dataFields>
  <chartFormats count="15">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12" count="1" selected="0">
            <x v="0"/>
          </reference>
        </references>
      </pivotArea>
    </chartFormat>
    <chartFormat chart="14" format="11">
      <pivotArea type="data" outline="0" fieldPosition="0">
        <references count="2">
          <reference field="4294967294" count="1" selected="0">
            <x v="0"/>
          </reference>
          <reference field="12" count="1" selected="0">
            <x v="1"/>
          </reference>
        </references>
      </pivotArea>
    </chartFormat>
    <chartFormat chart="14" format="12">
      <pivotArea type="data" outline="0" fieldPosition="0">
        <references count="2">
          <reference field="4294967294" count="1" selected="0">
            <x v="0"/>
          </reference>
          <reference field="12" count="1" selected="0">
            <x v="2"/>
          </reference>
        </references>
      </pivotArea>
    </chartFormat>
    <chartFormat chart="14" format="13">
      <pivotArea type="data" outline="0" fieldPosition="0">
        <references count="2">
          <reference field="4294967294" count="1" selected="0">
            <x v="0"/>
          </reference>
          <reference field="12" count="1" selected="0">
            <x v="3"/>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12" count="1" selected="0">
            <x v="0"/>
          </reference>
        </references>
      </pivotArea>
    </chartFormat>
    <chartFormat chart="15" format="16">
      <pivotArea type="data" outline="0" fieldPosition="0">
        <references count="2">
          <reference field="4294967294" count="1" selected="0">
            <x v="0"/>
          </reference>
          <reference field="12" count="1" selected="0">
            <x v="1"/>
          </reference>
        </references>
      </pivotArea>
    </chartFormat>
    <chartFormat chart="15" format="17">
      <pivotArea type="data" outline="0" fieldPosition="0">
        <references count="2">
          <reference field="4294967294" count="1" selected="0">
            <x v="0"/>
          </reference>
          <reference field="12" count="1" selected="0">
            <x v="2"/>
          </reference>
        </references>
      </pivotArea>
    </chartFormat>
    <chartFormat chart="15" format="18">
      <pivotArea type="data" outline="0" fieldPosition="0">
        <references count="2">
          <reference field="4294967294" count="1" selected="0">
            <x v="0"/>
          </reference>
          <reference field="12" count="1" selected="0">
            <x v="3"/>
          </reference>
        </references>
      </pivotArea>
    </chartFormat>
    <chartFormat chart="16" format="19" series="1">
      <pivotArea type="data" outline="0" fieldPosition="0">
        <references count="1">
          <reference field="4294967294" count="1" selected="0">
            <x v="0"/>
          </reference>
        </references>
      </pivotArea>
    </chartFormat>
    <chartFormat chart="16" format="20">
      <pivotArea type="data" outline="0" fieldPosition="0">
        <references count="2">
          <reference field="4294967294" count="1" selected="0">
            <x v="0"/>
          </reference>
          <reference field="12" count="1" selected="0">
            <x v="0"/>
          </reference>
        </references>
      </pivotArea>
    </chartFormat>
    <chartFormat chart="16" format="21">
      <pivotArea type="data" outline="0" fieldPosition="0">
        <references count="2">
          <reference field="4294967294" count="1" selected="0">
            <x v="0"/>
          </reference>
          <reference field="12" count="1" selected="0">
            <x v="1"/>
          </reference>
        </references>
      </pivotArea>
    </chartFormat>
    <chartFormat chart="16" format="22">
      <pivotArea type="data" outline="0" fieldPosition="0">
        <references count="2">
          <reference field="4294967294" count="1" selected="0">
            <x v="0"/>
          </reference>
          <reference field="12" count="1" selected="0">
            <x v="2"/>
          </reference>
        </references>
      </pivotArea>
    </chartFormat>
    <chartFormat chart="16" format="2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5955B-5CCA-47FF-873B-3A6F892D28D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7:B82" firstHeaderRow="1" firstDataRow="1" firstDataCol="1"/>
  <pivotFields count="14">
    <pivotField showAll="0">
      <items count="51">
        <item x="10"/>
        <item x="43"/>
        <item x="33"/>
        <item x="36"/>
        <item x="29"/>
        <item x="12"/>
        <item x="4"/>
        <item x="38"/>
        <item x="27"/>
        <item x="21"/>
        <item x="1"/>
        <item x="40"/>
        <item x="8"/>
        <item x="5"/>
        <item x="42"/>
        <item x="9"/>
        <item x="34"/>
        <item x="18"/>
        <item x="35"/>
        <item x="31"/>
        <item x="13"/>
        <item x="37"/>
        <item x="23"/>
        <item x="0"/>
        <item x="28"/>
        <item x="6"/>
        <item x="16"/>
        <item x="44"/>
        <item x="14"/>
        <item x="32"/>
        <item x="22"/>
        <item x="47"/>
        <item x="3"/>
        <item x="11"/>
        <item x="7"/>
        <item x="24"/>
        <item x="48"/>
        <item x="30"/>
        <item x="41"/>
        <item x="17"/>
        <item x="39"/>
        <item x="26"/>
        <item x="19"/>
        <item x="49"/>
        <item x="45"/>
        <item x="20"/>
        <item x="15"/>
        <item x="46"/>
        <item x="25"/>
        <item x="2"/>
        <item t="default"/>
      </items>
    </pivotField>
    <pivotField dataField="1" showAll="0"/>
    <pivotField showAll="0"/>
    <pivotField showAll="0"/>
    <pivotField showAll="0"/>
    <pivotField showAll="0"/>
    <pivotField showAll="0"/>
    <pivotField showAll="0">
      <items count="36">
        <item x="21"/>
        <item x="5"/>
        <item x="12"/>
        <item x="34"/>
        <item x="32"/>
        <item x="11"/>
        <item x="1"/>
        <item x="3"/>
        <item x="17"/>
        <item x="26"/>
        <item x="13"/>
        <item x="8"/>
        <item x="18"/>
        <item x="22"/>
        <item x="14"/>
        <item x="9"/>
        <item x="27"/>
        <item x="19"/>
        <item x="0"/>
        <item x="31"/>
        <item x="4"/>
        <item x="33"/>
        <item x="15"/>
        <item x="24"/>
        <item x="7"/>
        <item x="28"/>
        <item x="16"/>
        <item x="29"/>
        <item x="20"/>
        <item x="23"/>
        <item x="6"/>
        <item x="25"/>
        <item x="2"/>
        <item x="10"/>
        <item x="30"/>
        <item t="default"/>
      </items>
    </pivotField>
    <pivotField showAll="0">
      <items count="5">
        <item x="0"/>
        <item x="2"/>
        <item x="3"/>
        <item x="1"/>
        <item t="default"/>
      </items>
    </pivotField>
    <pivotField numFmtId="9" showAll="0"/>
    <pivotField numFmtId="9" showAll="0"/>
    <pivotField numFmtId="9" showAll="0"/>
    <pivotField axis="axisRow" showAll="0">
      <items count="5">
        <item x="0"/>
        <item x="3"/>
        <item x="2"/>
        <item x="1"/>
        <item t="default"/>
      </items>
    </pivotField>
    <pivotField showAll="0"/>
  </pivotFields>
  <rowFields count="1">
    <field x="12"/>
  </rowFields>
  <rowItems count="5">
    <i>
      <x/>
    </i>
    <i>
      <x v="1"/>
    </i>
    <i>
      <x v="2"/>
    </i>
    <i>
      <x v="3"/>
    </i>
    <i t="grand">
      <x/>
    </i>
  </rowItems>
  <colItems count="1">
    <i/>
  </colItems>
  <dataFields count="1">
    <dataField name="Sum of New Activities" fld="1" baseField="0" baseItem="0"/>
  </dataFields>
  <chartFormats count="1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12" count="1" selected="0">
            <x v="0"/>
          </reference>
        </references>
      </pivotArea>
    </chartFormat>
    <chartFormat chart="9" format="13">
      <pivotArea type="data" outline="0" fieldPosition="0">
        <references count="2">
          <reference field="4294967294" count="1" selected="0">
            <x v="0"/>
          </reference>
          <reference field="12" count="1" selected="0">
            <x v="1"/>
          </reference>
        </references>
      </pivotArea>
    </chartFormat>
    <chartFormat chart="9" format="14">
      <pivotArea type="data" outline="0" fieldPosition="0">
        <references count="2">
          <reference field="4294967294" count="1" selected="0">
            <x v="0"/>
          </reference>
          <reference field="12" count="1" selected="0">
            <x v="2"/>
          </reference>
        </references>
      </pivotArea>
    </chartFormat>
    <chartFormat chart="9" format="15">
      <pivotArea type="data" outline="0" fieldPosition="0">
        <references count="2">
          <reference field="4294967294" count="1" selected="0">
            <x v="0"/>
          </reference>
          <reference field="12" count="1" selected="0">
            <x v="3"/>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2" count="1" selected="0">
            <x v="0"/>
          </reference>
        </references>
      </pivotArea>
    </chartFormat>
    <chartFormat chart="10" format="18">
      <pivotArea type="data" outline="0" fieldPosition="0">
        <references count="2">
          <reference field="4294967294" count="1" selected="0">
            <x v="0"/>
          </reference>
          <reference field="12" count="1" selected="0">
            <x v="1"/>
          </reference>
        </references>
      </pivotArea>
    </chartFormat>
    <chartFormat chart="10" format="19">
      <pivotArea type="data" outline="0" fieldPosition="0">
        <references count="2">
          <reference field="4294967294" count="1" selected="0">
            <x v="0"/>
          </reference>
          <reference field="12" count="1" selected="0">
            <x v="2"/>
          </reference>
        </references>
      </pivotArea>
    </chartFormat>
    <chartFormat chart="10"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4AA032-713C-402F-9C96-050F16BE7CC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69:B74" firstHeaderRow="1" firstDataRow="1" firstDataCol="1"/>
  <pivotFields count="14">
    <pivotField showAll="0">
      <items count="51">
        <item x="10"/>
        <item x="43"/>
        <item x="33"/>
        <item x="36"/>
        <item x="29"/>
        <item x="12"/>
        <item x="4"/>
        <item x="38"/>
        <item x="27"/>
        <item x="21"/>
        <item x="1"/>
        <item x="40"/>
        <item x="8"/>
        <item x="5"/>
        <item x="42"/>
        <item x="9"/>
        <item x="34"/>
        <item x="18"/>
        <item x="35"/>
        <item x="31"/>
        <item x="13"/>
        <item x="37"/>
        <item x="23"/>
        <item x="0"/>
        <item x="28"/>
        <item x="6"/>
        <item x="16"/>
        <item x="44"/>
        <item x="14"/>
        <item x="32"/>
        <item x="22"/>
        <item x="47"/>
        <item x="3"/>
        <item x="11"/>
        <item x="7"/>
        <item x="24"/>
        <item x="48"/>
        <item x="30"/>
        <item x="41"/>
        <item x="17"/>
        <item x="39"/>
        <item x="26"/>
        <item x="19"/>
        <item x="49"/>
        <item x="45"/>
        <item x="20"/>
        <item x="15"/>
        <item x="46"/>
        <item x="25"/>
        <item x="2"/>
        <item t="default"/>
      </items>
    </pivotField>
    <pivotField showAll="0"/>
    <pivotField dataField="1" showAll="0"/>
    <pivotField showAll="0"/>
    <pivotField showAll="0"/>
    <pivotField showAll="0"/>
    <pivotField showAll="0"/>
    <pivotField showAll="0">
      <items count="36">
        <item x="21"/>
        <item x="5"/>
        <item x="12"/>
        <item x="34"/>
        <item x="32"/>
        <item x="11"/>
        <item x="1"/>
        <item x="3"/>
        <item x="17"/>
        <item x="26"/>
        <item x="13"/>
        <item x="8"/>
        <item x="18"/>
        <item x="22"/>
        <item x="14"/>
        <item x="9"/>
        <item x="27"/>
        <item x="19"/>
        <item x="0"/>
        <item x="31"/>
        <item x="4"/>
        <item x="33"/>
        <item x="15"/>
        <item x="24"/>
        <item x="7"/>
        <item x="28"/>
        <item x="16"/>
        <item x="29"/>
        <item x="20"/>
        <item x="23"/>
        <item x="6"/>
        <item x="25"/>
        <item x="2"/>
        <item x="10"/>
        <item x="30"/>
        <item t="default"/>
      </items>
    </pivotField>
    <pivotField axis="axisRow" showAll="0">
      <items count="5">
        <item x="0"/>
        <item x="2"/>
        <item x="3"/>
        <item x="1"/>
        <item t="default"/>
      </items>
    </pivotField>
    <pivotField numFmtId="9" showAll="0"/>
    <pivotField numFmtId="9" showAll="0"/>
    <pivotField numFmtId="9" showAll="0"/>
    <pivotField showAll="0">
      <items count="5">
        <item x="0"/>
        <item x="3"/>
        <item x="2"/>
        <item x="1"/>
        <item t="default"/>
      </items>
    </pivotField>
    <pivotField showAll="0"/>
  </pivotFields>
  <rowFields count="1">
    <field x="8"/>
  </rowFields>
  <rowItems count="5">
    <i>
      <x/>
    </i>
    <i>
      <x v="1"/>
    </i>
    <i>
      <x v="2"/>
    </i>
    <i>
      <x v="3"/>
    </i>
    <i t="grand">
      <x/>
    </i>
  </rowItems>
  <colItems count="1">
    <i/>
  </colItems>
  <dataFields count="1">
    <dataField name="Sum of Total Tasks" fld="2" baseField="0" baseItem="0"/>
  </dataFields>
  <chartFormats count="4">
    <chartFormat chart="1" format="1"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C6502D-B35F-4700-A35D-5A838F6E764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5:E66" firstHeaderRow="0" firstDataRow="1" firstDataCol="1"/>
  <pivotFields count="14">
    <pivotField axis="axisRow" showAll="0">
      <items count="51">
        <item x="10"/>
        <item x="43"/>
        <item x="33"/>
        <item x="36"/>
        <item x="29"/>
        <item x="12"/>
        <item x="4"/>
        <item x="38"/>
        <item x="27"/>
        <item x="21"/>
        <item x="1"/>
        <item x="40"/>
        <item x="8"/>
        <item x="5"/>
        <item x="42"/>
        <item x="9"/>
        <item x="34"/>
        <item x="18"/>
        <item x="35"/>
        <item x="31"/>
        <item x="13"/>
        <item x="37"/>
        <item x="23"/>
        <item x="0"/>
        <item x="28"/>
        <item x="6"/>
        <item x="16"/>
        <item x="44"/>
        <item x="14"/>
        <item x="32"/>
        <item x="22"/>
        <item x="47"/>
        <item x="3"/>
        <item x="11"/>
        <item x="7"/>
        <item x="24"/>
        <item x="48"/>
        <item x="30"/>
        <item x="41"/>
        <item x="17"/>
        <item x="39"/>
        <item x="26"/>
        <item x="19"/>
        <item x="49"/>
        <item x="45"/>
        <item x="20"/>
        <item x="15"/>
        <item x="46"/>
        <item x="25"/>
        <item x="2"/>
        <item t="default"/>
      </items>
    </pivotField>
    <pivotField showAll="0"/>
    <pivotField showAll="0"/>
    <pivotField dataField="1" showAll="0"/>
    <pivotField dataField="1" showAll="0"/>
    <pivotField dataField="1" showAll="0"/>
    <pivotField dataField="1" showAll="0"/>
    <pivotField showAll="0">
      <items count="36">
        <item x="21"/>
        <item x="5"/>
        <item x="12"/>
        <item x="34"/>
        <item x="32"/>
        <item x="11"/>
        <item x="1"/>
        <item x="3"/>
        <item x="17"/>
        <item x="26"/>
        <item x="13"/>
        <item x="8"/>
        <item x="18"/>
        <item x="22"/>
        <item x="14"/>
        <item x="9"/>
        <item x="27"/>
        <item x="19"/>
        <item x="0"/>
        <item x="31"/>
        <item x="4"/>
        <item x="33"/>
        <item x="15"/>
        <item x="24"/>
        <item x="7"/>
        <item x="28"/>
        <item x="16"/>
        <item x="29"/>
        <item x="20"/>
        <item x="23"/>
        <item x="6"/>
        <item x="25"/>
        <item x="2"/>
        <item x="10"/>
        <item x="30"/>
        <item t="default"/>
      </items>
    </pivotField>
    <pivotField showAll="0">
      <items count="5">
        <item x="0"/>
        <item x="2"/>
        <item x="3"/>
        <item x="1"/>
        <item t="default"/>
      </items>
    </pivotField>
    <pivotField numFmtId="9" showAll="0"/>
    <pivotField numFmtId="9" showAll="0"/>
    <pivotField numFmtId="9" showAll="0"/>
    <pivotField showAll="0">
      <items count="5">
        <item x="0"/>
        <item x="3"/>
        <item x="2"/>
        <item x="1"/>
        <item t="default"/>
      </items>
    </pivotField>
    <pivotField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4">
    <i>
      <x/>
    </i>
    <i i="1">
      <x v="1"/>
    </i>
    <i i="2">
      <x v="2"/>
    </i>
    <i i="3">
      <x v="3"/>
    </i>
  </colItems>
  <dataFields count="4">
    <dataField name="Sum of Passed" fld="3" baseField="0" baseItem="0"/>
    <dataField name="Sum of Deferred" fld="4" baseField="0" baseItem="0"/>
    <dataField name="Sum of Pending" fld="5" baseField="0" baseItem="0"/>
    <dataField name="Sum of Cancelled" fld="6" baseField="0" baseItem="0"/>
  </dataFields>
  <chartFormats count="16">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3"/>
          </reference>
        </references>
      </pivotArea>
    </chartFormat>
    <chartFormat chart="26" format="12"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1"/>
          </reference>
        </references>
      </pivotArea>
    </chartFormat>
    <chartFormat chart="26" format="14" series="1">
      <pivotArea type="data" outline="0" fieldPosition="0">
        <references count="1">
          <reference field="4294967294" count="1" selected="0">
            <x v="2"/>
          </reference>
        </references>
      </pivotArea>
    </chartFormat>
    <chartFormat chart="26" format="15" series="1">
      <pivotArea type="data" outline="0" fieldPosition="0">
        <references count="1">
          <reference field="4294967294" count="1" selected="0">
            <x v="3"/>
          </reference>
        </references>
      </pivotArea>
    </chartFormat>
    <chartFormat chart="27" format="16" series="1">
      <pivotArea type="data" outline="0" fieldPosition="0">
        <references count="1">
          <reference field="4294967294" count="1" selected="0">
            <x v="0"/>
          </reference>
        </references>
      </pivotArea>
    </chartFormat>
    <chartFormat chart="27" format="17" series="1">
      <pivotArea type="data" outline="0" fieldPosition="0">
        <references count="1">
          <reference field="4294967294" count="1" selected="0">
            <x v="1"/>
          </reference>
        </references>
      </pivotArea>
    </chartFormat>
    <chartFormat chart="27" format="18" series="1">
      <pivotArea type="data" outline="0" fieldPosition="0">
        <references count="1">
          <reference field="4294967294" count="1" selected="0">
            <x v="2"/>
          </reference>
        </references>
      </pivotArea>
    </chartFormat>
    <chartFormat chart="27"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C8B43B-F9D3-4DB9-88D6-146A17F938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12" firstHeaderRow="1" firstDataRow="1" firstDataCol="1"/>
  <pivotFields count="14">
    <pivotField dataField="1" showAll="0">
      <items count="51">
        <item x="10"/>
        <item x="43"/>
        <item x="33"/>
        <item x="36"/>
        <item x="29"/>
        <item x="12"/>
        <item x="4"/>
        <item x="38"/>
        <item x="27"/>
        <item x="21"/>
        <item x="1"/>
        <item x="40"/>
        <item x="8"/>
        <item x="5"/>
        <item x="42"/>
        <item x="9"/>
        <item x="34"/>
        <item x="18"/>
        <item x="35"/>
        <item x="31"/>
        <item x="13"/>
        <item x="37"/>
        <item x="23"/>
        <item x="0"/>
        <item x="28"/>
        <item x="6"/>
        <item x="16"/>
        <item x="44"/>
        <item x="14"/>
        <item x="32"/>
        <item x="22"/>
        <item x="47"/>
        <item x="3"/>
        <item x="11"/>
        <item x="7"/>
        <item x="24"/>
        <item x="48"/>
        <item x="30"/>
        <item x="41"/>
        <item x="17"/>
        <item x="39"/>
        <item x="26"/>
        <item x="19"/>
        <item x="49"/>
        <item x="45"/>
        <item x="20"/>
        <item x="15"/>
        <item x="46"/>
        <item x="25"/>
        <item x="2"/>
        <item t="default"/>
      </items>
    </pivotField>
    <pivotField showAll="0"/>
    <pivotField showAll="0"/>
    <pivotField showAll="0"/>
    <pivotField showAll="0"/>
    <pivotField showAll="0"/>
    <pivotField showAll="0"/>
    <pivotField showAll="0">
      <items count="36">
        <item x="21"/>
        <item x="5"/>
        <item x="12"/>
        <item x="34"/>
        <item x="32"/>
        <item x="11"/>
        <item x="1"/>
        <item x="3"/>
        <item x="17"/>
        <item x="26"/>
        <item x="13"/>
        <item x="8"/>
        <item x="18"/>
        <item x="22"/>
        <item x="14"/>
        <item x="9"/>
        <item x="27"/>
        <item x="19"/>
        <item x="0"/>
        <item x="31"/>
        <item x="4"/>
        <item x="33"/>
        <item x="15"/>
        <item x="24"/>
        <item x="7"/>
        <item x="28"/>
        <item x="16"/>
        <item x="29"/>
        <item x="20"/>
        <item x="23"/>
        <item x="6"/>
        <item x="25"/>
        <item x="2"/>
        <item x="10"/>
        <item x="30"/>
        <item t="default"/>
      </items>
    </pivotField>
    <pivotField showAll="0">
      <items count="5">
        <item x="0"/>
        <item x="2"/>
        <item x="3"/>
        <item x="1"/>
        <item t="default"/>
      </items>
    </pivotField>
    <pivotField numFmtId="9" showAll="0"/>
    <pivotField numFmtId="9" showAll="0"/>
    <pivotField numFmtId="9" showAll="0"/>
    <pivotField axis="axisRow" showAll="0">
      <items count="5">
        <item x="0"/>
        <item x="3"/>
        <item x="2"/>
        <item x="1"/>
        <item t="default"/>
      </items>
    </pivotField>
    <pivotField showAll="0"/>
  </pivotFields>
  <rowFields count="1">
    <field x="12"/>
  </rowFields>
  <rowItems count="5">
    <i>
      <x/>
    </i>
    <i>
      <x v="1"/>
    </i>
    <i>
      <x v="2"/>
    </i>
    <i>
      <x v="3"/>
    </i>
    <i t="grand">
      <x/>
    </i>
  </rowItems>
  <colItems count="1">
    <i/>
  </colItems>
  <dataFields count="1">
    <dataField name="Count of Project Name" fld="0" subtotal="count"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498FB8-874D-49D4-9C75-099C804030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items count="51">
        <item x="10"/>
        <item x="43"/>
        <item x="33"/>
        <item x="36"/>
        <item x="29"/>
        <item x="12"/>
        <item x="4"/>
        <item x="38"/>
        <item x="27"/>
        <item x="21"/>
        <item x="1"/>
        <item x="40"/>
        <item x="8"/>
        <item x="5"/>
        <item x="42"/>
        <item x="9"/>
        <item x="34"/>
        <item x="18"/>
        <item x="35"/>
        <item x="31"/>
        <item x="13"/>
        <item x="37"/>
        <item x="23"/>
        <item x="0"/>
        <item x="28"/>
        <item x="6"/>
        <item x="16"/>
        <item x="44"/>
        <item x="14"/>
        <item x="32"/>
        <item x="22"/>
        <item x="47"/>
        <item x="3"/>
        <item x="11"/>
        <item x="7"/>
        <item x="24"/>
        <item x="48"/>
        <item x="30"/>
        <item x="41"/>
        <item x="17"/>
        <item x="39"/>
        <item x="26"/>
        <item x="19"/>
        <item x="49"/>
        <item x="45"/>
        <item x="20"/>
        <item x="15"/>
        <item x="46"/>
        <item x="25"/>
        <item x="2"/>
        <item t="default"/>
      </items>
    </pivotField>
    <pivotField showAll="0"/>
    <pivotField dataField="1" showAll="0"/>
    <pivotField dataField="1" showAll="0"/>
    <pivotField showAll="0"/>
    <pivotField dataField="1" showAll="0"/>
    <pivotField showAll="0"/>
    <pivotField showAll="0">
      <items count="36">
        <item x="21"/>
        <item x="5"/>
        <item x="12"/>
        <item x="34"/>
        <item x="32"/>
        <item x="11"/>
        <item x="1"/>
        <item x="3"/>
        <item x="17"/>
        <item x="26"/>
        <item x="13"/>
        <item x="8"/>
        <item x="18"/>
        <item x="22"/>
        <item x="14"/>
        <item x="9"/>
        <item x="27"/>
        <item x="19"/>
        <item x="0"/>
        <item x="31"/>
        <item x="4"/>
        <item x="33"/>
        <item x="15"/>
        <item x="24"/>
        <item x="7"/>
        <item x="28"/>
        <item x="16"/>
        <item x="29"/>
        <item x="20"/>
        <item x="23"/>
        <item x="6"/>
        <item x="25"/>
        <item x="2"/>
        <item x="10"/>
        <item x="30"/>
        <item t="default"/>
      </items>
    </pivotField>
    <pivotField showAll="0"/>
    <pivotField dataField="1" numFmtId="9" showAll="0"/>
    <pivotField numFmtId="9" showAll="0"/>
    <pivotField numFmtId="9" showAll="0"/>
    <pivotField showAll="0">
      <items count="5">
        <item x="0"/>
        <item x="3"/>
        <item x="2"/>
        <item x="1"/>
        <item t="default"/>
      </items>
    </pivotField>
    <pivotField showAll="0"/>
  </pivotFields>
  <rowItems count="1">
    <i/>
  </rowItems>
  <colFields count="1">
    <field x="-2"/>
  </colFields>
  <colItems count="4">
    <i>
      <x/>
    </i>
    <i i="1">
      <x v="1"/>
    </i>
    <i i="2">
      <x v="2"/>
    </i>
    <i i="3">
      <x v="3"/>
    </i>
  </colItems>
  <dataFields count="4">
    <dataField name="Sum of Total Tasks" fld="2" baseField="0" baseItem="0"/>
    <dataField name="Sum of Passed" fld="3" baseField="0" baseItem="0"/>
    <dataField name="Sum of Pending" fld="5" baseField="0" baseItem="0"/>
    <dataField name="Sum of Completion %" fld="9" baseField="0" baseItem="0" numFmtId="10"/>
  </dataFields>
  <formats count="1">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18171B99-5E2F-4B20-9D83-7315CA7356CD}" sourceName="Project Name">
  <pivotTables>
    <pivotTable tabId="3" name="PivotTable10"/>
    <pivotTable tabId="3" name="PivotTable1"/>
    <pivotTable tabId="3" name="PivotTable11"/>
    <pivotTable tabId="3" name="PivotTable12"/>
    <pivotTable tabId="3" name="PivotTable13"/>
    <pivotTable tabId="3" name="PivotTable2"/>
  </pivotTables>
  <data>
    <tabular pivotCacheId="756053238">
      <items count="50">
        <i x="10" s="1"/>
        <i x="43" s="1"/>
        <i x="33" s="1"/>
        <i x="36" s="1"/>
        <i x="29" s="1"/>
        <i x="12" s="1"/>
        <i x="4" s="1"/>
        <i x="38" s="1"/>
        <i x="27" s="1"/>
        <i x="21" s="1"/>
        <i x="1" s="1"/>
        <i x="40" s="1"/>
        <i x="8" s="1"/>
        <i x="5" s="1"/>
        <i x="42" s="1"/>
        <i x="9" s="1"/>
        <i x="34" s="1"/>
        <i x="18" s="1"/>
        <i x="35" s="1"/>
        <i x="31" s="1"/>
        <i x="13" s="1"/>
        <i x="37" s="1"/>
        <i x="23" s="1"/>
        <i x="0" s="1"/>
        <i x="28" s="1"/>
        <i x="6" s="1"/>
        <i x="16" s="1"/>
        <i x="44" s="1"/>
        <i x="14" s="1"/>
        <i x="32" s="1"/>
        <i x="22" s="1"/>
        <i x="47" s="1"/>
        <i x="3" s="1"/>
        <i x="11" s="1"/>
        <i x="7" s="1"/>
        <i x="24" s="1"/>
        <i x="48" s="1"/>
        <i x="30" s="1"/>
        <i x="41" s="1"/>
        <i x="17" s="1"/>
        <i x="39" s="1"/>
        <i x="26" s="1"/>
        <i x="19" s="1"/>
        <i x="49" s="1"/>
        <i x="45" s="1"/>
        <i x="20" s="1"/>
        <i x="15" s="1"/>
        <i x="46" s="1"/>
        <i x="2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_Date" xr10:uid="{62F7158B-C3D0-43B5-9623-0DC8F9458773}" sourceName="Target Date">
  <pivotTables>
    <pivotTable tabId="3" name="PivotTable11"/>
    <pivotTable tabId="3" name="PivotTable1"/>
    <pivotTable tabId="3" name="PivotTable10"/>
    <pivotTable tabId="3" name="PivotTable12"/>
    <pivotTable tabId="3" name="PivotTable13"/>
    <pivotTable tabId="3" name="PivotTable2"/>
  </pivotTables>
  <data>
    <tabular pivotCacheId="756053238">
      <items count="35">
        <i x="21" s="1"/>
        <i x="5" s="1"/>
        <i x="12" s="1"/>
        <i x="34" s="1"/>
        <i x="32" s="1"/>
        <i x="11" s="1"/>
        <i x="1" s="1"/>
        <i x="3" s="1"/>
        <i x="17" s="1"/>
        <i x="26" s="1"/>
        <i x="13" s="1"/>
        <i x="8" s="1"/>
        <i x="18" s="1"/>
        <i x="22" s="1"/>
        <i x="14" s="1"/>
        <i x="9" s="1"/>
        <i x="27" s="1"/>
        <i x="19" s="1"/>
        <i x="0" s="1"/>
        <i x="31" s="1"/>
        <i x="4" s="1"/>
        <i x="33" s="1"/>
        <i x="15" s="1"/>
        <i x="24" s="1"/>
        <i x="7" s="1"/>
        <i x="28" s="1"/>
        <i x="16" s="1"/>
        <i x="29" s="1"/>
        <i x="20" s="1"/>
        <i x="23" s="1"/>
        <i x="6" s="1"/>
        <i x="25" s="1"/>
        <i x="2" s="1"/>
        <i x="10" s="1"/>
        <i x="3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1DC6475D-87C2-4F80-917D-16D30C6678A7}" sourceName="Performance Status">
  <pivotTables>
    <pivotTable tabId="3" name="PivotTable13"/>
    <pivotTable tabId="3" name="PivotTable12"/>
    <pivotTable tabId="3" name="PivotTable1"/>
    <pivotTable tabId="3" name="PivotTable10"/>
    <pivotTable tabId="3" name="PivotTable11"/>
    <pivotTable tabId="3" name="PivotTable2"/>
  </pivotTables>
  <data>
    <tabular pivotCacheId="75605323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F43B4E34-5CC2-4E73-95E9-B2B189229753}" cache="Slicer_Project_Name" caption="Project Name" startItem="16" style="SlicerStyleDark5" rowHeight="241300"/>
  <slicer name="Project Name 1" xr10:uid="{1B9F6526-AAEF-4D85-AFBE-229BE4017AB9}" cache="Slicer_Project_Name" caption="Project Name" startItem="16" style="SlicerStyleDark5" rowHeight="241300"/>
  <slicer name="Target Date" xr10:uid="{48CD0A8E-C17A-466D-A4EF-1EE852FA0717}" cache="Slicer_Target_Date" caption="Target Date" style="SlicerStyleDark5" rowHeight="241300"/>
  <slicer name="Target Date 1" xr10:uid="{DEE78481-D774-4676-922B-BD3927E71B1A}" cache="Slicer_Target_Date" caption="Target Date" style="SlicerStyleDark5" rowHeight="241300"/>
  <slicer name="Performance Status" xr10:uid="{50EA7D8B-6E1E-4EB0-8EE1-FB13045E621B}" cache="Slicer_Performance_Status" caption="Performance Status" style="SlicerStyleDark5" rowHeight="241300"/>
  <slicer name="Performance Status 1" xr10:uid="{07EA7209-87B6-45EA-88CB-94B433BCEF2F}" cache="Slicer_Performance_Status" caption="Performance Status"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opLeftCell="B1" workbookViewId="0">
      <pane ySplit="1" topLeftCell="A2" activePane="bottomLeft" state="frozen"/>
      <selection pane="bottomLeft" activeCell="I1" sqref="I1:I1048576"/>
    </sheetView>
  </sheetViews>
  <sheetFormatPr defaultRowHeight="15" x14ac:dyDescent="0.25"/>
  <cols>
    <col min="1" max="1" width="30.7109375" customWidth="1"/>
    <col min="2" max="2" width="15.42578125" customWidth="1"/>
    <col min="3" max="3" width="11" customWidth="1"/>
    <col min="4" max="4" width="9.140625" customWidth="1"/>
    <col min="5" max="5" width="10.85546875" customWidth="1"/>
    <col min="7" max="7" width="11" customWidth="1"/>
    <col min="8" max="8" width="13.42578125" customWidth="1"/>
    <col min="9" max="9" width="16.28515625" customWidth="1"/>
    <col min="10" max="10" width="13.7109375" style="3" customWidth="1"/>
    <col min="11" max="11" width="10.7109375" customWidth="1"/>
    <col min="12" max="12" width="9.140625" style="3" customWidth="1"/>
    <col min="13" max="13" width="19.7109375" customWidth="1"/>
    <col min="14" max="14" width="11.140625" customWidth="1"/>
  </cols>
  <sheetData>
    <row r="1" spans="1:14" s="1" customFormat="1" x14ac:dyDescent="0.25">
      <c r="A1" s="1" t="s">
        <v>0</v>
      </c>
      <c r="B1" s="1" t="s">
        <v>1</v>
      </c>
      <c r="C1" s="1" t="s">
        <v>2</v>
      </c>
      <c r="D1" s="1" t="s">
        <v>3</v>
      </c>
      <c r="E1" s="1" t="s">
        <v>4</v>
      </c>
      <c r="F1" s="1" t="s">
        <v>5</v>
      </c>
      <c r="G1" s="1" t="s">
        <v>6</v>
      </c>
      <c r="H1" s="1" t="s">
        <v>7</v>
      </c>
      <c r="I1" s="1" t="s">
        <v>8</v>
      </c>
      <c r="J1" s="2" t="s">
        <v>9</v>
      </c>
      <c r="K1" s="1" t="s">
        <v>10</v>
      </c>
      <c r="L1" s="2" t="s">
        <v>11</v>
      </c>
      <c r="M1" s="1" t="s">
        <v>12</v>
      </c>
      <c r="N1" s="1" t="s">
        <v>13</v>
      </c>
    </row>
    <row r="2" spans="1:14" x14ac:dyDescent="0.25">
      <c r="A2" t="s">
        <v>14</v>
      </c>
      <c r="B2">
        <v>20</v>
      </c>
      <c r="C2">
        <v>122</v>
      </c>
      <c r="D2">
        <v>67</v>
      </c>
      <c r="E2">
        <v>8</v>
      </c>
      <c r="F2">
        <v>46</v>
      </c>
      <c r="G2">
        <v>1</v>
      </c>
      <c r="H2" t="s">
        <v>15</v>
      </c>
      <c r="I2" t="s">
        <v>16</v>
      </c>
      <c r="J2" s="3">
        <f>D2/C2</f>
        <v>0.54918032786885251</v>
      </c>
      <c r="K2" s="3">
        <f>F2/C2</f>
        <v>0.37704918032786883</v>
      </c>
      <c r="L2" s="3">
        <f>G2/C2</f>
        <v>8.1967213114754103E-3</v>
      </c>
      <c r="M2" t="str">
        <f>IF(D2/C2&gt;=0.9,"Excellent", IF(D2/C2&gt;=0.7,"Good", IF(D2/C2&gt;=0.5,"Average","Poor")))</f>
        <v>Average</v>
      </c>
      <c r="N2" t="str">
        <f>IF(C2=D2+E2+F2+G2,"OK","Mismatch")</f>
        <v>OK</v>
      </c>
    </row>
    <row r="3" spans="1:14" x14ac:dyDescent="0.25">
      <c r="A3" t="s">
        <v>17</v>
      </c>
      <c r="B3">
        <v>12</v>
      </c>
      <c r="C3">
        <v>66</v>
      </c>
      <c r="D3">
        <v>34</v>
      </c>
      <c r="E3">
        <v>2</v>
      </c>
      <c r="F3">
        <v>28</v>
      </c>
      <c r="G3">
        <v>2</v>
      </c>
      <c r="H3" t="s">
        <v>18</v>
      </c>
      <c r="I3" t="s">
        <v>16</v>
      </c>
      <c r="J3" s="3">
        <f t="shared" ref="J3:J51" si="0">D3/C3</f>
        <v>0.51515151515151514</v>
      </c>
      <c r="K3" s="3">
        <f t="shared" ref="K3:K51" si="1">F3/C3</f>
        <v>0.42424242424242425</v>
      </c>
      <c r="L3" s="3">
        <f t="shared" ref="L3:L51" si="2">G3/C3</f>
        <v>3.0303030303030304E-2</v>
      </c>
      <c r="M3" t="str">
        <f t="shared" ref="M3:M51" si="3">IF(D3/C3&gt;=0.9,"Excellent", IF(D3/C3&gt;=0.7,"Good", IF(D3/C3&gt;=0.5,"Average","Poor")))</f>
        <v>Average</v>
      </c>
      <c r="N3" t="str">
        <f t="shared" ref="N3:N51" si="4">IF(C3=D3+E3+F3+G3,"OK","Mismatch")</f>
        <v>OK</v>
      </c>
    </row>
    <row r="4" spans="1:14" x14ac:dyDescent="0.25">
      <c r="A4" t="s">
        <v>19</v>
      </c>
      <c r="B4">
        <v>17</v>
      </c>
      <c r="C4">
        <v>149</v>
      </c>
      <c r="D4">
        <v>37</v>
      </c>
      <c r="E4">
        <v>66</v>
      </c>
      <c r="F4">
        <v>41</v>
      </c>
      <c r="G4">
        <v>5</v>
      </c>
      <c r="H4" t="s">
        <v>20</v>
      </c>
      <c r="I4" t="s">
        <v>21</v>
      </c>
      <c r="J4" s="3">
        <f t="shared" si="0"/>
        <v>0.24832214765100671</v>
      </c>
      <c r="K4" s="3">
        <f t="shared" si="1"/>
        <v>0.27516778523489932</v>
      </c>
      <c r="L4" s="3">
        <f t="shared" si="2"/>
        <v>3.3557046979865772E-2</v>
      </c>
      <c r="M4" t="str">
        <f t="shared" si="3"/>
        <v>Poor</v>
      </c>
      <c r="N4" t="str">
        <f t="shared" si="4"/>
        <v>OK</v>
      </c>
    </row>
    <row r="5" spans="1:14" x14ac:dyDescent="0.25">
      <c r="A5" t="s">
        <v>22</v>
      </c>
      <c r="B5">
        <v>8</v>
      </c>
      <c r="C5">
        <v>108</v>
      </c>
      <c r="D5">
        <v>30</v>
      </c>
      <c r="E5">
        <v>78</v>
      </c>
      <c r="F5">
        <v>0</v>
      </c>
      <c r="G5">
        <v>0</v>
      </c>
      <c r="H5" t="s">
        <v>23</v>
      </c>
      <c r="I5" t="s">
        <v>24</v>
      </c>
      <c r="J5" s="3">
        <f t="shared" si="0"/>
        <v>0.27777777777777779</v>
      </c>
      <c r="K5" s="3">
        <f t="shared" si="1"/>
        <v>0</v>
      </c>
      <c r="L5" s="3">
        <f t="shared" si="2"/>
        <v>0</v>
      </c>
      <c r="M5" t="str">
        <f t="shared" si="3"/>
        <v>Poor</v>
      </c>
      <c r="N5" t="str">
        <f t="shared" si="4"/>
        <v>OK</v>
      </c>
    </row>
    <row r="6" spans="1:14" x14ac:dyDescent="0.25">
      <c r="A6" t="s">
        <v>25</v>
      </c>
      <c r="B6">
        <v>26</v>
      </c>
      <c r="C6">
        <v>139</v>
      </c>
      <c r="D6">
        <v>46</v>
      </c>
      <c r="E6">
        <v>11</v>
      </c>
      <c r="F6">
        <v>64</v>
      </c>
      <c r="G6">
        <v>18</v>
      </c>
      <c r="H6" t="s">
        <v>26</v>
      </c>
      <c r="I6" t="s">
        <v>24</v>
      </c>
      <c r="J6" s="3">
        <f t="shared" si="0"/>
        <v>0.33093525179856115</v>
      </c>
      <c r="K6" s="3">
        <f t="shared" si="1"/>
        <v>0.46043165467625902</v>
      </c>
      <c r="L6" s="3">
        <f t="shared" si="2"/>
        <v>0.12949640287769784</v>
      </c>
      <c r="M6" t="str">
        <f t="shared" si="3"/>
        <v>Poor</v>
      </c>
      <c r="N6" t="str">
        <f t="shared" si="4"/>
        <v>OK</v>
      </c>
    </row>
    <row r="7" spans="1:14" x14ac:dyDescent="0.25">
      <c r="A7" t="s">
        <v>27</v>
      </c>
      <c r="B7">
        <v>21</v>
      </c>
      <c r="C7">
        <v>79</v>
      </c>
      <c r="D7">
        <v>70</v>
      </c>
      <c r="E7">
        <v>9</v>
      </c>
      <c r="F7">
        <v>0</v>
      </c>
      <c r="G7">
        <v>0</v>
      </c>
      <c r="H7" t="s">
        <v>28</v>
      </c>
      <c r="I7" t="s">
        <v>21</v>
      </c>
      <c r="J7" s="3">
        <f t="shared" si="0"/>
        <v>0.88607594936708856</v>
      </c>
      <c r="K7" s="3">
        <f t="shared" si="1"/>
        <v>0</v>
      </c>
      <c r="L7" s="3">
        <f t="shared" si="2"/>
        <v>0</v>
      </c>
      <c r="M7" t="str">
        <f t="shared" si="3"/>
        <v>Good</v>
      </c>
      <c r="N7" t="str">
        <f t="shared" si="4"/>
        <v>OK</v>
      </c>
    </row>
    <row r="8" spans="1:14" x14ac:dyDescent="0.25">
      <c r="A8" t="s">
        <v>29</v>
      </c>
      <c r="B8">
        <v>4</v>
      </c>
      <c r="C8">
        <v>28</v>
      </c>
      <c r="D8">
        <v>11</v>
      </c>
      <c r="E8">
        <v>15</v>
      </c>
      <c r="F8">
        <v>1</v>
      </c>
      <c r="G8">
        <v>1</v>
      </c>
      <c r="H8" t="s">
        <v>28</v>
      </c>
      <c r="I8" t="s">
        <v>21</v>
      </c>
      <c r="J8" s="3">
        <f t="shared" si="0"/>
        <v>0.39285714285714285</v>
      </c>
      <c r="K8" s="3">
        <f t="shared" si="1"/>
        <v>3.5714285714285712E-2</v>
      </c>
      <c r="L8" s="3">
        <f t="shared" si="2"/>
        <v>3.5714285714285712E-2</v>
      </c>
      <c r="M8" t="str">
        <f t="shared" si="3"/>
        <v>Poor</v>
      </c>
      <c r="N8" t="str">
        <f t="shared" si="4"/>
        <v>OK</v>
      </c>
    </row>
    <row r="9" spans="1:14" x14ac:dyDescent="0.25">
      <c r="A9" t="s">
        <v>30</v>
      </c>
      <c r="B9">
        <v>5</v>
      </c>
      <c r="C9">
        <v>99</v>
      </c>
      <c r="D9">
        <v>88</v>
      </c>
      <c r="E9">
        <v>4</v>
      </c>
      <c r="F9">
        <v>5</v>
      </c>
      <c r="G9">
        <v>2</v>
      </c>
      <c r="H9" t="s">
        <v>31</v>
      </c>
      <c r="I9" t="s">
        <v>24</v>
      </c>
      <c r="J9" s="3">
        <f t="shared" si="0"/>
        <v>0.88888888888888884</v>
      </c>
      <c r="K9" s="3">
        <f t="shared" si="1"/>
        <v>5.0505050505050504E-2</v>
      </c>
      <c r="L9" s="3">
        <f t="shared" si="2"/>
        <v>2.0202020202020204E-2</v>
      </c>
      <c r="M9" t="str">
        <f t="shared" si="3"/>
        <v>Good</v>
      </c>
      <c r="N9" t="str">
        <f t="shared" si="4"/>
        <v>OK</v>
      </c>
    </row>
    <row r="10" spans="1:14" x14ac:dyDescent="0.25">
      <c r="A10" t="s">
        <v>32</v>
      </c>
      <c r="B10">
        <v>13</v>
      </c>
      <c r="C10">
        <v>143</v>
      </c>
      <c r="D10">
        <v>122</v>
      </c>
      <c r="E10">
        <v>20</v>
      </c>
      <c r="F10">
        <v>1</v>
      </c>
      <c r="G10">
        <v>0</v>
      </c>
      <c r="H10" t="s">
        <v>33</v>
      </c>
      <c r="I10" t="s">
        <v>21</v>
      </c>
      <c r="J10" s="3">
        <f t="shared" si="0"/>
        <v>0.85314685314685312</v>
      </c>
      <c r="K10" s="3">
        <f t="shared" si="1"/>
        <v>6.993006993006993E-3</v>
      </c>
      <c r="L10" s="3">
        <f t="shared" si="2"/>
        <v>0</v>
      </c>
      <c r="M10" t="str">
        <f t="shared" si="3"/>
        <v>Good</v>
      </c>
      <c r="N10" t="str">
        <f t="shared" si="4"/>
        <v>OK</v>
      </c>
    </row>
    <row r="11" spans="1:14" x14ac:dyDescent="0.25">
      <c r="A11" t="s">
        <v>34</v>
      </c>
      <c r="B11">
        <v>25</v>
      </c>
      <c r="C11">
        <v>135</v>
      </c>
      <c r="D11">
        <v>17</v>
      </c>
      <c r="E11">
        <v>96</v>
      </c>
      <c r="F11">
        <v>0</v>
      </c>
      <c r="G11">
        <v>22</v>
      </c>
      <c r="H11" t="s">
        <v>35</v>
      </c>
      <c r="I11" t="s">
        <v>36</v>
      </c>
      <c r="J11" s="3">
        <f t="shared" si="0"/>
        <v>0.12592592592592591</v>
      </c>
      <c r="K11" s="3">
        <f t="shared" si="1"/>
        <v>0</v>
      </c>
      <c r="L11" s="3">
        <f t="shared" si="2"/>
        <v>0.16296296296296298</v>
      </c>
      <c r="M11" t="str">
        <f t="shared" si="3"/>
        <v>Poor</v>
      </c>
      <c r="N11" t="str">
        <f t="shared" si="4"/>
        <v>OK</v>
      </c>
    </row>
    <row r="12" spans="1:14" x14ac:dyDescent="0.25">
      <c r="A12" t="s">
        <v>37</v>
      </c>
      <c r="B12">
        <v>21</v>
      </c>
      <c r="C12">
        <v>27</v>
      </c>
      <c r="D12">
        <v>20</v>
      </c>
      <c r="E12">
        <v>4</v>
      </c>
      <c r="F12">
        <v>3</v>
      </c>
      <c r="G12">
        <v>0</v>
      </c>
      <c r="H12" t="s">
        <v>38</v>
      </c>
      <c r="I12" t="s">
        <v>24</v>
      </c>
      <c r="J12" s="3">
        <f t="shared" si="0"/>
        <v>0.7407407407407407</v>
      </c>
      <c r="K12" s="3">
        <f t="shared" si="1"/>
        <v>0.1111111111111111</v>
      </c>
      <c r="L12" s="3">
        <f t="shared" si="2"/>
        <v>0</v>
      </c>
      <c r="M12" t="str">
        <f t="shared" si="3"/>
        <v>Good</v>
      </c>
      <c r="N12" t="str">
        <f t="shared" si="4"/>
        <v>OK</v>
      </c>
    </row>
    <row r="13" spans="1:14" x14ac:dyDescent="0.25">
      <c r="A13" t="s">
        <v>39</v>
      </c>
      <c r="B13">
        <v>19</v>
      </c>
      <c r="C13">
        <v>145</v>
      </c>
      <c r="D13">
        <v>32</v>
      </c>
      <c r="E13">
        <v>16</v>
      </c>
      <c r="F13">
        <v>1</v>
      </c>
      <c r="G13">
        <v>96</v>
      </c>
      <c r="H13" t="s">
        <v>40</v>
      </c>
      <c r="I13" t="s">
        <v>21</v>
      </c>
      <c r="J13" s="3">
        <f t="shared" si="0"/>
        <v>0.22068965517241379</v>
      </c>
      <c r="K13" s="3">
        <f t="shared" si="1"/>
        <v>6.8965517241379309E-3</v>
      </c>
      <c r="L13" s="3">
        <f t="shared" si="2"/>
        <v>0.66206896551724137</v>
      </c>
      <c r="M13" t="str">
        <f t="shared" si="3"/>
        <v>Poor</v>
      </c>
      <c r="N13" t="str">
        <f t="shared" si="4"/>
        <v>OK</v>
      </c>
    </row>
    <row r="14" spans="1:14" x14ac:dyDescent="0.25">
      <c r="A14" t="s">
        <v>41</v>
      </c>
      <c r="B14">
        <v>23</v>
      </c>
      <c r="C14">
        <v>63</v>
      </c>
      <c r="D14">
        <v>43</v>
      </c>
      <c r="E14">
        <v>16</v>
      </c>
      <c r="F14">
        <v>0</v>
      </c>
      <c r="G14">
        <v>4</v>
      </c>
      <c r="H14" t="s">
        <v>42</v>
      </c>
      <c r="I14" t="s">
        <v>24</v>
      </c>
      <c r="J14" s="3">
        <f t="shared" si="0"/>
        <v>0.68253968253968256</v>
      </c>
      <c r="K14" s="3">
        <f t="shared" si="1"/>
        <v>0</v>
      </c>
      <c r="L14" s="3">
        <f t="shared" si="2"/>
        <v>6.3492063492063489E-2</v>
      </c>
      <c r="M14" t="str">
        <f t="shared" si="3"/>
        <v>Average</v>
      </c>
      <c r="N14" t="str">
        <f t="shared" si="4"/>
        <v>OK</v>
      </c>
    </row>
    <row r="15" spans="1:14" x14ac:dyDescent="0.25">
      <c r="A15" t="s">
        <v>43</v>
      </c>
      <c r="B15">
        <v>8</v>
      </c>
      <c r="C15">
        <v>125</v>
      </c>
      <c r="D15">
        <v>52</v>
      </c>
      <c r="E15">
        <v>35</v>
      </c>
      <c r="F15">
        <v>36</v>
      </c>
      <c r="G15">
        <v>2</v>
      </c>
      <c r="H15" t="s">
        <v>44</v>
      </c>
      <c r="I15" t="s">
        <v>16</v>
      </c>
      <c r="J15" s="3">
        <f t="shared" si="0"/>
        <v>0.41599999999999998</v>
      </c>
      <c r="K15" s="3">
        <f t="shared" si="1"/>
        <v>0.28799999999999998</v>
      </c>
      <c r="L15" s="3">
        <f t="shared" si="2"/>
        <v>1.6E-2</v>
      </c>
      <c r="M15" t="str">
        <f t="shared" si="3"/>
        <v>Poor</v>
      </c>
      <c r="N15" t="str">
        <f t="shared" si="4"/>
        <v>OK</v>
      </c>
    </row>
    <row r="16" spans="1:14" x14ac:dyDescent="0.25">
      <c r="A16" t="s">
        <v>45</v>
      </c>
      <c r="B16">
        <v>9</v>
      </c>
      <c r="C16">
        <v>142</v>
      </c>
      <c r="D16">
        <v>55</v>
      </c>
      <c r="E16">
        <v>36</v>
      </c>
      <c r="F16">
        <v>50</v>
      </c>
      <c r="G16">
        <v>1</v>
      </c>
      <c r="H16" t="s">
        <v>46</v>
      </c>
      <c r="I16" t="s">
        <v>21</v>
      </c>
      <c r="J16" s="3">
        <f t="shared" si="0"/>
        <v>0.38732394366197181</v>
      </c>
      <c r="K16" s="3">
        <f t="shared" si="1"/>
        <v>0.352112676056338</v>
      </c>
      <c r="L16" s="3">
        <f t="shared" si="2"/>
        <v>7.0422535211267607E-3</v>
      </c>
      <c r="M16" t="str">
        <f t="shared" si="3"/>
        <v>Poor</v>
      </c>
      <c r="N16" t="str">
        <f t="shared" si="4"/>
        <v>OK</v>
      </c>
    </row>
    <row r="17" spans="1:14" x14ac:dyDescent="0.25">
      <c r="A17" t="s">
        <v>47</v>
      </c>
      <c r="B17">
        <v>14</v>
      </c>
      <c r="C17">
        <v>36</v>
      </c>
      <c r="D17">
        <v>9</v>
      </c>
      <c r="E17">
        <v>27</v>
      </c>
      <c r="F17">
        <v>0</v>
      </c>
      <c r="G17">
        <v>0</v>
      </c>
      <c r="H17" t="s">
        <v>48</v>
      </c>
      <c r="I17" t="s">
        <v>21</v>
      </c>
      <c r="J17" s="3">
        <f t="shared" si="0"/>
        <v>0.25</v>
      </c>
      <c r="K17" s="3">
        <f t="shared" si="1"/>
        <v>0</v>
      </c>
      <c r="L17" s="3">
        <f t="shared" si="2"/>
        <v>0</v>
      </c>
      <c r="M17" t="str">
        <f t="shared" si="3"/>
        <v>Poor</v>
      </c>
      <c r="N17" t="str">
        <f t="shared" si="4"/>
        <v>OK</v>
      </c>
    </row>
    <row r="18" spans="1:14" x14ac:dyDescent="0.25">
      <c r="A18" t="s">
        <v>49</v>
      </c>
      <c r="B18">
        <v>18</v>
      </c>
      <c r="C18">
        <v>125</v>
      </c>
      <c r="D18">
        <v>86</v>
      </c>
      <c r="E18">
        <v>13</v>
      </c>
      <c r="F18">
        <v>23</v>
      </c>
      <c r="G18">
        <v>3</v>
      </c>
      <c r="H18" t="s">
        <v>20</v>
      </c>
      <c r="I18" t="s">
        <v>21</v>
      </c>
      <c r="J18" s="3">
        <f t="shared" si="0"/>
        <v>0.68799999999999994</v>
      </c>
      <c r="K18" s="3">
        <f t="shared" si="1"/>
        <v>0.184</v>
      </c>
      <c r="L18" s="3">
        <f t="shared" si="2"/>
        <v>2.4E-2</v>
      </c>
      <c r="M18" t="str">
        <f t="shared" si="3"/>
        <v>Average</v>
      </c>
      <c r="N18" t="str">
        <f t="shared" si="4"/>
        <v>OK</v>
      </c>
    </row>
    <row r="19" spans="1:14" x14ac:dyDescent="0.25">
      <c r="A19" t="s">
        <v>50</v>
      </c>
      <c r="B19">
        <v>21</v>
      </c>
      <c r="C19">
        <v>31</v>
      </c>
      <c r="D19">
        <v>26</v>
      </c>
      <c r="E19">
        <v>4</v>
      </c>
      <c r="F19">
        <v>1</v>
      </c>
      <c r="G19">
        <v>0</v>
      </c>
      <c r="H19" t="s">
        <v>20</v>
      </c>
      <c r="I19" t="s">
        <v>16</v>
      </c>
      <c r="J19" s="3">
        <f t="shared" si="0"/>
        <v>0.83870967741935487</v>
      </c>
      <c r="K19" s="3">
        <f t="shared" si="1"/>
        <v>3.2258064516129031E-2</v>
      </c>
      <c r="L19" s="3">
        <f t="shared" si="2"/>
        <v>0</v>
      </c>
      <c r="M19" t="str">
        <f t="shared" si="3"/>
        <v>Good</v>
      </c>
      <c r="N19" t="str">
        <f t="shared" si="4"/>
        <v>OK</v>
      </c>
    </row>
    <row r="20" spans="1:14" x14ac:dyDescent="0.25">
      <c r="A20" t="s">
        <v>51</v>
      </c>
      <c r="B20">
        <v>18</v>
      </c>
      <c r="C20">
        <v>60</v>
      </c>
      <c r="D20">
        <v>20</v>
      </c>
      <c r="E20">
        <v>2</v>
      </c>
      <c r="F20">
        <v>20</v>
      </c>
      <c r="G20">
        <v>18</v>
      </c>
      <c r="H20" t="s">
        <v>52</v>
      </c>
      <c r="I20" t="s">
        <v>16</v>
      </c>
      <c r="J20" s="3">
        <f t="shared" si="0"/>
        <v>0.33333333333333331</v>
      </c>
      <c r="K20" s="3">
        <f t="shared" si="1"/>
        <v>0.33333333333333331</v>
      </c>
      <c r="L20" s="3">
        <f t="shared" si="2"/>
        <v>0.3</v>
      </c>
      <c r="M20" t="str">
        <f t="shared" si="3"/>
        <v>Poor</v>
      </c>
      <c r="N20" t="str">
        <f t="shared" si="4"/>
        <v>OK</v>
      </c>
    </row>
    <row r="21" spans="1:14" x14ac:dyDescent="0.25">
      <c r="A21" t="s">
        <v>53</v>
      </c>
      <c r="B21">
        <v>15</v>
      </c>
      <c r="C21">
        <v>81</v>
      </c>
      <c r="D21">
        <v>26</v>
      </c>
      <c r="E21">
        <v>42</v>
      </c>
      <c r="F21">
        <v>4</v>
      </c>
      <c r="G21">
        <v>9</v>
      </c>
      <c r="H21" t="s">
        <v>54</v>
      </c>
      <c r="I21" t="s">
        <v>16</v>
      </c>
      <c r="J21" s="3">
        <f t="shared" si="0"/>
        <v>0.32098765432098764</v>
      </c>
      <c r="K21" s="3">
        <f t="shared" si="1"/>
        <v>4.9382716049382713E-2</v>
      </c>
      <c r="L21" s="3">
        <f t="shared" si="2"/>
        <v>0.1111111111111111</v>
      </c>
      <c r="M21" t="str">
        <f t="shared" si="3"/>
        <v>Poor</v>
      </c>
      <c r="N21" t="str">
        <f t="shared" si="4"/>
        <v>OK</v>
      </c>
    </row>
    <row r="22" spans="1:14" x14ac:dyDescent="0.25">
      <c r="A22" t="s">
        <v>55</v>
      </c>
      <c r="B22">
        <v>12</v>
      </c>
      <c r="C22">
        <v>144</v>
      </c>
      <c r="D22">
        <v>125</v>
      </c>
      <c r="E22">
        <v>17</v>
      </c>
      <c r="F22">
        <v>0</v>
      </c>
      <c r="G22">
        <v>2</v>
      </c>
      <c r="H22" t="s">
        <v>56</v>
      </c>
      <c r="I22" t="s">
        <v>24</v>
      </c>
      <c r="J22" s="3">
        <f t="shared" si="0"/>
        <v>0.86805555555555558</v>
      </c>
      <c r="K22" s="3">
        <f t="shared" si="1"/>
        <v>0</v>
      </c>
      <c r="L22" s="3">
        <f t="shared" si="2"/>
        <v>1.3888888888888888E-2</v>
      </c>
      <c r="M22" t="str">
        <f t="shared" si="3"/>
        <v>Good</v>
      </c>
      <c r="N22" t="str">
        <f t="shared" si="4"/>
        <v>OK</v>
      </c>
    </row>
    <row r="23" spans="1:14" x14ac:dyDescent="0.25">
      <c r="A23" t="s">
        <v>57</v>
      </c>
      <c r="B23">
        <v>19</v>
      </c>
      <c r="C23">
        <v>93</v>
      </c>
      <c r="D23">
        <v>37</v>
      </c>
      <c r="E23">
        <v>1</v>
      </c>
      <c r="F23">
        <v>8</v>
      </c>
      <c r="G23">
        <v>47</v>
      </c>
      <c r="H23" t="s">
        <v>35</v>
      </c>
      <c r="I23" t="s">
        <v>16</v>
      </c>
      <c r="J23" s="3">
        <f t="shared" si="0"/>
        <v>0.39784946236559138</v>
      </c>
      <c r="K23" s="3">
        <f t="shared" si="1"/>
        <v>8.6021505376344093E-2</v>
      </c>
      <c r="L23" s="3">
        <f t="shared" si="2"/>
        <v>0.5053763440860215</v>
      </c>
      <c r="M23" t="str">
        <f t="shared" si="3"/>
        <v>Poor</v>
      </c>
      <c r="N23" t="str">
        <f t="shared" si="4"/>
        <v>OK</v>
      </c>
    </row>
    <row r="24" spans="1:14" x14ac:dyDescent="0.25">
      <c r="A24" t="s">
        <v>58</v>
      </c>
      <c r="B24">
        <v>16</v>
      </c>
      <c r="C24">
        <v>64</v>
      </c>
      <c r="D24">
        <v>43</v>
      </c>
      <c r="E24">
        <v>8</v>
      </c>
      <c r="F24">
        <v>3</v>
      </c>
      <c r="G24">
        <v>10</v>
      </c>
      <c r="H24" t="s">
        <v>28</v>
      </c>
      <c r="I24" t="s">
        <v>36</v>
      </c>
      <c r="J24" s="3">
        <f t="shared" si="0"/>
        <v>0.671875</v>
      </c>
      <c r="K24" s="3">
        <f t="shared" si="1"/>
        <v>4.6875E-2</v>
      </c>
      <c r="L24" s="3">
        <f t="shared" si="2"/>
        <v>0.15625</v>
      </c>
      <c r="M24" t="str">
        <f t="shared" si="3"/>
        <v>Average</v>
      </c>
      <c r="N24" t="str">
        <f t="shared" si="4"/>
        <v>OK</v>
      </c>
    </row>
    <row r="25" spans="1:14" x14ac:dyDescent="0.25">
      <c r="A25" t="s">
        <v>59</v>
      </c>
      <c r="B25">
        <v>10</v>
      </c>
      <c r="C25">
        <v>136</v>
      </c>
      <c r="D25">
        <v>75</v>
      </c>
      <c r="E25">
        <v>45</v>
      </c>
      <c r="F25">
        <v>3</v>
      </c>
      <c r="G25">
        <v>13</v>
      </c>
      <c r="H25" t="s">
        <v>60</v>
      </c>
      <c r="I25" t="s">
        <v>24</v>
      </c>
      <c r="J25" s="3">
        <f t="shared" si="0"/>
        <v>0.55147058823529416</v>
      </c>
      <c r="K25" s="3">
        <f t="shared" si="1"/>
        <v>2.2058823529411766E-2</v>
      </c>
      <c r="L25" s="3">
        <f t="shared" si="2"/>
        <v>9.5588235294117641E-2</v>
      </c>
      <c r="M25" t="str">
        <f t="shared" si="3"/>
        <v>Average</v>
      </c>
      <c r="N25" t="str">
        <f t="shared" si="4"/>
        <v>OK</v>
      </c>
    </row>
    <row r="26" spans="1:14" x14ac:dyDescent="0.25">
      <c r="A26" t="s">
        <v>61</v>
      </c>
      <c r="B26">
        <v>10</v>
      </c>
      <c r="C26">
        <v>109</v>
      </c>
      <c r="D26">
        <v>90</v>
      </c>
      <c r="E26">
        <v>13</v>
      </c>
      <c r="F26">
        <v>3</v>
      </c>
      <c r="G26">
        <v>3</v>
      </c>
      <c r="H26" t="s">
        <v>62</v>
      </c>
      <c r="I26" t="s">
        <v>16</v>
      </c>
      <c r="J26" s="3">
        <f t="shared" si="0"/>
        <v>0.82568807339449546</v>
      </c>
      <c r="K26" s="3">
        <f t="shared" si="1"/>
        <v>2.7522935779816515E-2</v>
      </c>
      <c r="L26" s="3">
        <f t="shared" si="2"/>
        <v>2.7522935779816515E-2</v>
      </c>
      <c r="M26" t="str">
        <f t="shared" si="3"/>
        <v>Good</v>
      </c>
      <c r="N26" t="str">
        <f t="shared" si="4"/>
        <v>OK</v>
      </c>
    </row>
    <row r="27" spans="1:14" x14ac:dyDescent="0.25">
      <c r="A27" t="s">
        <v>63</v>
      </c>
      <c r="B27">
        <v>8</v>
      </c>
      <c r="C27">
        <v>142</v>
      </c>
      <c r="D27">
        <v>61</v>
      </c>
      <c r="E27">
        <v>31</v>
      </c>
      <c r="F27">
        <v>36</v>
      </c>
      <c r="G27">
        <v>14</v>
      </c>
      <c r="H27" t="s">
        <v>64</v>
      </c>
      <c r="I27" t="s">
        <v>16</v>
      </c>
      <c r="J27" s="3">
        <f t="shared" si="0"/>
        <v>0.42957746478873238</v>
      </c>
      <c r="K27" s="3">
        <f t="shared" si="1"/>
        <v>0.25352112676056338</v>
      </c>
      <c r="L27" s="3">
        <f t="shared" si="2"/>
        <v>9.8591549295774641E-2</v>
      </c>
      <c r="M27" t="str">
        <f t="shared" si="3"/>
        <v>Poor</v>
      </c>
      <c r="N27" t="str">
        <f t="shared" si="4"/>
        <v>OK</v>
      </c>
    </row>
    <row r="28" spans="1:14" x14ac:dyDescent="0.25">
      <c r="A28" t="s">
        <v>65</v>
      </c>
      <c r="B28">
        <v>1</v>
      </c>
      <c r="C28">
        <v>61</v>
      </c>
      <c r="D28">
        <v>61</v>
      </c>
      <c r="E28">
        <v>0</v>
      </c>
      <c r="F28">
        <v>0</v>
      </c>
      <c r="G28">
        <v>0</v>
      </c>
      <c r="H28" t="s">
        <v>26</v>
      </c>
      <c r="I28" t="s">
        <v>16</v>
      </c>
      <c r="J28" s="3">
        <f t="shared" si="0"/>
        <v>1</v>
      </c>
      <c r="K28" s="3">
        <f t="shared" si="1"/>
        <v>0</v>
      </c>
      <c r="L28" s="3">
        <f t="shared" si="2"/>
        <v>0</v>
      </c>
      <c r="M28" t="str">
        <f t="shared" si="3"/>
        <v>Excellent</v>
      </c>
      <c r="N28" t="str">
        <f t="shared" si="4"/>
        <v>OK</v>
      </c>
    </row>
    <row r="29" spans="1:14" x14ac:dyDescent="0.25">
      <c r="A29" t="s">
        <v>66</v>
      </c>
      <c r="B29">
        <v>28</v>
      </c>
      <c r="C29">
        <v>125</v>
      </c>
      <c r="D29">
        <v>89</v>
      </c>
      <c r="E29">
        <v>33</v>
      </c>
      <c r="F29">
        <v>3</v>
      </c>
      <c r="G29">
        <v>0</v>
      </c>
      <c r="H29" t="s">
        <v>67</v>
      </c>
      <c r="I29" t="s">
        <v>21</v>
      </c>
      <c r="J29" s="3">
        <f t="shared" si="0"/>
        <v>0.71199999999999997</v>
      </c>
      <c r="K29" s="3">
        <f t="shared" si="1"/>
        <v>2.4E-2</v>
      </c>
      <c r="L29" s="3">
        <f t="shared" si="2"/>
        <v>0</v>
      </c>
      <c r="M29" t="str">
        <f t="shared" si="3"/>
        <v>Good</v>
      </c>
      <c r="N29" t="str">
        <f t="shared" si="4"/>
        <v>OK</v>
      </c>
    </row>
    <row r="30" spans="1:14" x14ac:dyDescent="0.25">
      <c r="A30" t="s">
        <v>68</v>
      </c>
      <c r="B30">
        <v>17</v>
      </c>
      <c r="C30">
        <v>114</v>
      </c>
      <c r="D30">
        <v>96</v>
      </c>
      <c r="E30">
        <v>12</v>
      </c>
      <c r="F30">
        <v>5</v>
      </c>
      <c r="G30">
        <v>1</v>
      </c>
      <c r="H30" t="s">
        <v>28</v>
      </c>
      <c r="I30" t="s">
        <v>16</v>
      </c>
      <c r="J30" s="3">
        <f t="shared" si="0"/>
        <v>0.84210526315789469</v>
      </c>
      <c r="K30" s="3">
        <f t="shared" si="1"/>
        <v>4.3859649122807015E-2</v>
      </c>
      <c r="L30" s="3">
        <f t="shared" si="2"/>
        <v>8.771929824561403E-3</v>
      </c>
      <c r="M30" t="str">
        <f t="shared" si="3"/>
        <v>Good</v>
      </c>
      <c r="N30" t="str">
        <f t="shared" si="4"/>
        <v>OK</v>
      </c>
    </row>
    <row r="31" spans="1:14" x14ac:dyDescent="0.25">
      <c r="A31" t="s">
        <v>69</v>
      </c>
      <c r="B31">
        <v>24</v>
      </c>
      <c r="C31">
        <v>125</v>
      </c>
      <c r="D31">
        <v>80</v>
      </c>
      <c r="E31">
        <v>0</v>
      </c>
      <c r="F31">
        <v>0</v>
      </c>
      <c r="G31">
        <v>45</v>
      </c>
      <c r="H31" t="s">
        <v>18</v>
      </c>
      <c r="I31" t="s">
        <v>16</v>
      </c>
      <c r="J31" s="3">
        <f t="shared" si="0"/>
        <v>0.64</v>
      </c>
      <c r="K31" s="3">
        <f t="shared" si="1"/>
        <v>0</v>
      </c>
      <c r="L31" s="3">
        <f t="shared" si="2"/>
        <v>0.36</v>
      </c>
      <c r="M31" t="str">
        <f t="shared" si="3"/>
        <v>Average</v>
      </c>
      <c r="N31" t="str">
        <f t="shared" si="4"/>
        <v>OK</v>
      </c>
    </row>
    <row r="32" spans="1:14" x14ac:dyDescent="0.25">
      <c r="A32" t="s">
        <v>70</v>
      </c>
      <c r="B32">
        <v>15</v>
      </c>
      <c r="C32">
        <v>133</v>
      </c>
      <c r="D32">
        <v>61</v>
      </c>
      <c r="E32">
        <v>4</v>
      </c>
      <c r="F32">
        <v>45</v>
      </c>
      <c r="G32">
        <v>23</v>
      </c>
      <c r="H32" t="s">
        <v>71</v>
      </c>
      <c r="I32" t="s">
        <v>21</v>
      </c>
      <c r="J32" s="3">
        <f t="shared" si="0"/>
        <v>0.45864661654135336</v>
      </c>
      <c r="K32" s="3">
        <f t="shared" si="1"/>
        <v>0.33834586466165412</v>
      </c>
      <c r="L32" s="3">
        <f t="shared" si="2"/>
        <v>0.17293233082706766</v>
      </c>
      <c r="M32" t="str">
        <f t="shared" si="3"/>
        <v>Poor</v>
      </c>
      <c r="N32" t="str">
        <f t="shared" si="4"/>
        <v>OK</v>
      </c>
    </row>
    <row r="33" spans="1:14" x14ac:dyDescent="0.25">
      <c r="A33" t="s">
        <v>72</v>
      </c>
      <c r="B33">
        <v>27</v>
      </c>
      <c r="C33">
        <v>110</v>
      </c>
      <c r="D33">
        <v>53</v>
      </c>
      <c r="E33">
        <v>12</v>
      </c>
      <c r="F33">
        <v>40</v>
      </c>
      <c r="G33">
        <v>5</v>
      </c>
      <c r="H33" t="s">
        <v>73</v>
      </c>
      <c r="I33" t="s">
        <v>16</v>
      </c>
      <c r="J33" s="3">
        <f t="shared" si="0"/>
        <v>0.48181818181818181</v>
      </c>
      <c r="K33" s="3">
        <f t="shared" si="1"/>
        <v>0.36363636363636365</v>
      </c>
      <c r="L33" s="3">
        <f t="shared" si="2"/>
        <v>4.5454545454545456E-2</v>
      </c>
      <c r="M33" t="str">
        <f t="shared" si="3"/>
        <v>Poor</v>
      </c>
      <c r="N33" t="str">
        <f t="shared" si="4"/>
        <v>OK</v>
      </c>
    </row>
    <row r="34" spans="1:14" x14ac:dyDescent="0.25">
      <c r="A34" t="s">
        <v>74</v>
      </c>
      <c r="B34">
        <v>30</v>
      </c>
      <c r="C34">
        <v>35</v>
      </c>
      <c r="D34">
        <v>5</v>
      </c>
      <c r="E34">
        <v>20</v>
      </c>
      <c r="F34">
        <v>9</v>
      </c>
      <c r="G34">
        <v>1</v>
      </c>
      <c r="H34" t="s">
        <v>20</v>
      </c>
      <c r="I34" t="s">
        <v>36</v>
      </c>
      <c r="J34" s="3">
        <f t="shared" si="0"/>
        <v>0.14285714285714285</v>
      </c>
      <c r="K34" s="3">
        <f t="shared" si="1"/>
        <v>0.25714285714285712</v>
      </c>
      <c r="L34" s="3">
        <f t="shared" si="2"/>
        <v>2.8571428571428571E-2</v>
      </c>
      <c r="M34" t="str">
        <f t="shared" si="3"/>
        <v>Poor</v>
      </c>
      <c r="N34" t="str">
        <f t="shared" si="4"/>
        <v>OK</v>
      </c>
    </row>
    <row r="35" spans="1:14" x14ac:dyDescent="0.25">
      <c r="A35" t="s">
        <v>75</v>
      </c>
      <c r="B35">
        <v>8</v>
      </c>
      <c r="C35">
        <v>78</v>
      </c>
      <c r="D35">
        <v>50</v>
      </c>
      <c r="E35">
        <v>9</v>
      </c>
      <c r="F35">
        <v>10</v>
      </c>
      <c r="G35">
        <v>9</v>
      </c>
      <c r="H35" t="s">
        <v>76</v>
      </c>
      <c r="I35" t="s">
        <v>36</v>
      </c>
      <c r="J35" s="3">
        <f t="shared" si="0"/>
        <v>0.64102564102564108</v>
      </c>
      <c r="K35" s="3">
        <f t="shared" si="1"/>
        <v>0.12820512820512819</v>
      </c>
      <c r="L35" s="3">
        <f t="shared" si="2"/>
        <v>0.11538461538461539</v>
      </c>
      <c r="M35" t="str">
        <f t="shared" si="3"/>
        <v>Average</v>
      </c>
      <c r="N35" t="str">
        <f t="shared" si="4"/>
        <v>OK</v>
      </c>
    </row>
    <row r="36" spans="1:14" x14ac:dyDescent="0.25">
      <c r="A36" t="s">
        <v>77</v>
      </c>
      <c r="B36">
        <v>29</v>
      </c>
      <c r="C36">
        <v>101</v>
      </c>
      <c r="D36">
        <v>31</v>
      </c>
      <c r="E36">
        <v>17</v>
      </c>
      <c r="F36">
        <v>32</v>
      </c>
      <c r="G36">
        <v>21</v>
      </c>
      <c r="H36" t="s">
        <v>78</v>
      </c>
      <c r="I36" t="s">
        <v>21</v>
      </c>
      <c r="J36" s="3">
        <f t="shared" si="0"/>
        <v>0.30693069306930693</v>
      </c>
      <c r="K36" s="3">
        <f t="shared" si="1"/>
        <v>0.31683168316831684</v>
      </c>
      <c r="L36" s="3">
        <f t="shared" si="2"/>
        <v>0.20792079207920791</v>
      </c>
      <c r="M36" t="str">
        <f t="shared" si="3"/>
        <v>Poor</v>
      </c>
      <c r="N36" t="str">
        <f t="shared" si="4"/>
        <v>OK</v>
      </c>
    </row>
    <row r="37" spans="1:14" x14ac:dyDescent="0.25">
      <c r="A37" t="s">
        <v>79</v>
      </c>
      <c r="B37">
        <v>21</v>
      </c>
      <c r="C37">
        <v>150</v>
      </c>
      <c r="D37">
        <v>87</v>
      </c>
      <c r="E37">
        <v>44</v>
      </c>
      <c r="F37">
        <v>3</v>
      </c>
      <c r="G37">
        <v>16</v>
      </c>
      <c r="H37" t="s">
        <v>40</v>
      </c>
      <c r="I37" t="s">
        <v>21</v>
      </c>
      <c r="J37" s="3">
        <f t="shared" si="0"/>
        <v>0.57999999999999996</v>
      </c>
      <c r="K37" s="3">
        <f t="shared" si="1"/>
        <v>0.02</v>
      </c>
      <c r="L37" s="3">
        <f t="shared" si="2"/>
        <v>0.10666666666666667</v>
      </c>
      <c r="M37" t="str">
        <f t="shared" si="3"/>
        <v>Average</v>
      </c>
      <c r="N37" t="str">
        <f t="shared" si="4"/>
        <v>OK</v>
      </c>
    </row>
    <row r="38" spans="1:14" x14ac:dyDescent="0.25">
      <c r="A38" t="s">
        <v>80</v>
      </c>
      <c r="B38">
        <v>12</v>
      </c>
      <c r="C38">
        <v>76</v>
      </c>
      <c r="D38">
        <v>72</v>
      </c>
      <c r="E38">
        <v>4</v>
      </c>
      <c r="F38">
        <v>0</v>
      </c>
      <c r="G38">
        <v>0</v>
      </c>
      <c r="H38" t="s">
        <v>56</v>
      </c>
      <c r="I38" t="s">
        <v>36</v>
      </c>
      <c r="J38" s="3">
        <f t="shared" si="0"/>
        <v>0.94736842105263153</v>
      </c>
      <c r="K38" s="3">
        <f t="shared" si="1"/>
        <v>0</v>
      </c>
      <c r="L38" s="3">
        <f t="shared" si="2"/>
        <v>0</v>
      </c>
      <c r="M38" t="str">
        <f t="shared" si="3"/>
        <v>Excellent</v>
      </c>
      <c r="N38" t="str">
        <f t="shared" si="4"/>
        <v>OK</v>
      </c>
    </row>
    <row r="39" spans="1:14" x14ac:dyDescent="0.25">
      <c r="A39" t="s">
        <v>81</v>
      </c>
      <c r="B39">
        <v>15</v>
      </c>
      <c r="C39">
        <v>108</v>
      </c>
      <c r="D39">
        <v>48</v>
      </c>
      <c r="E39">
        <v>26</v>
      </c>
      <c r="F39">
        <v>15</v>
      </c>
      <c r="G39">
        <v>19</v>
      </c>
      <c r="H39" t="s">
        <v>82</v>
      </c>
      <c r="I39" t="s">
        <v>36</v>
      </c>
      <c r="J39" s="3">
        <f t="shared" si="0"/>
        <v>0.44444444444444442</v>
      </c>
      <c r="K39" s="3">
        <f t="shared" si="1"/>
        <v>0.1388888888888889</v>
      </c>
      <c r="L39" s="3">
        <f t="shared" si="2"/>
        <v>0.17592592592592593</v>
      </c>
      <c r="M39" t="str">
        <f t="shared" si="3"/>
        <v>Poor</v>
      </c>
      <c r="N39" t="str">
        <f t="shared" si="4"/>
        <v>OK</v>
      </c>
    </row>
    <row r="40" spans="1:14" x14ac:dyDescent="0.25">
      <c r="A40" t="s">
        <v>83</v>
      </c>
      <c r="B40">
        <v>14</v>
      </c>
      <c r="C40">
        <v>122</v>
      </c>
      <c r="D40">
        <v>69</v>
      </c>
      <c r="E40">
        <v>12</v>
      </c>
      <c r="F40">
        <v>5</v>
      </c>
      <c r="G40">
        <v>36</v>
      </c>
      <c r="H40" t="s">
        <v>35</v>
      </c>
      <c r="I40" t="s">
        <v>16</v>
      </c>
      <c r="J40" s="3">
        <f t="shared" si="0"/>
        <v>0.56557377049180324</v>
      </c>
      <c r="K40" s="3">
        <f t="shared" si="1"/>
        <v>4.0983606557377046E-2</v>
      </c>
      <c r="L40" s="3">
        <f t="shared" si="2"/>
        <v>0.29508196721311475</v>
      </c>
      <c r="M40" t="str">
        <f t="shared" si="3"/>
        <v>Average</v>
      </c>
      <c r="N40" t="str">
        <f t="shared" si="4"/>
        <v>OK</v>
      </c>
    </row>
    <row r="41" spans="1:14" x14ac:dyDescent="0.25">
      <c r="A41" t="s">
        <v>84</v>
      </c>
      <c r="B41">
        <v>21</v>
      </c>
      <c r="C41">
        <v>85</v>
      </c>
      <c r="D41">
        <v>17</v>
      </c>
      <c r="E41">
        <v>27</v>
      </c>
      <c r="F41">
        <v>36</v>
      </c>
      <c r="G41">
        <v>5</v>
      </c>
      <c r="H41" t="s">
        <v>85</v>
      </c>
      <c r="I41" t="s">
        <v>21</v>
      </c>
      <c r="J41" s="3">
        <f t="shared" si="0"/>
        <v>0.2</v>
      </c>
      <c r="K41" s="3">
        <f t="shared" si="1"/>
        <v>0.42352941176470588</v>
      </c>
      <c r="L41" s="3">
        <f t="shared" si="2"/>
        <v>5.8823529411764705E-2</v>
      </c>
      <c r="M41" t="str">
        <f t="shared" si="3"/>
        <v>Poor</v>
      </c>
      <c r="N41" t="str">
        <f t="shared" si="4"/>
        <v>OK</v>
      </c>
    </row>
    <row r="42" spans="1:14" x14ac:dyDescent="0.25">
      <c r="A42" t="s">
        <v>86</v>
      </c>
      <c r="B42">
        <v>19</v>
      </c>
      <c r="C42">
        <v>44</v>
      </c>
      <c r="D42">
        <v>32</v>
      </c>
      <c r="E42">
        <v>12</v>
      </c>
      <c r="F42">
        <v>0</v>
      </c>
      <c r="G42">
        <v>0</v>
      </c>
      <c r="H42" t="s">
        <v>87</v>
      </c>
      <c r="I42" t="s">
        <v>21</v>
      </c>
      <c r="J42" s="3">
        <f t="shared" si="0"/>
        <v>0.72727272727272729</v>
      </c>
      <c r="K42" s="3">
        <f t="shared" si="1"/>
        <v>0</v>
      </c>
      <c r="L42" s="3">
        <f t="shared" si="2"/>
        <v>0</v>
      </c>
      <c r="M42" t="str">
        <f t="shared" si="3"/>
        <v>Good</v>
      </c>
      <c r="N42" t="str">
        <f t="shared" si="4"/>
        <v>OK</v>
      </c>
    </row>
    <row r="43" spans="1:14" x14ac:dyDescent="0.25">
      <c r="A43" t="s">
        <v>88</v>
      </c>
      <c r="B43">
        <v>5</v>
      </c>
      <c r="C43">
        <v>131</v>
      </c>
      <c r="D43">
        <v>45</v>
      </c>
      <c r="E43">
        <v>78</v>
      </c>
      <c r="F43">
        <v>6</v>
      </c>
      <c r="G43">
        <v>2</v>
      </c>
      <c r="H43" t="s">
        <v>35</v>
      </c>
      <c r="I43" t="s">
        <v>16</v>
      </c>
      <c r="J43" s="3">
        <f t="shared" si="0"/>
        <v>0.34351145038167941</v>
      </c>
      <c r="K43" s="3">
        <f t="shared" si="1"/>
        <v>4.5801526717557252E-2</v>
      </c>
      <c r="L43" s="3">
        <f t="shared" si="2"/>
        <v>1.5267175572519083E-2</v>
      </c>
      <c r="M43" t="str">
        <f t="shared" si="3"/>
        <v>Poor</v>
      </c>
      <c r="N43" t="str">
        <f t="shared" si="4"/>
        <v>OK</v>
      </c>
    </row>
    <row r="44" spans="1:14" x14ac:dyDescent="0.25">
      <c r="A44" t="s">
        <v>89</v>
      </c>
      <c r="B44">
        <v>25</v>
      </c>
      <c r="C44">
        <v>83</v>
      </c>
      <c r="D44">
        <v>43</v>
      </c>
      <c r="E44">
        <v>15</v>
      </c>
      <c r="F44">
        <v>20</v>
      </c>
      <c r="G44">
        <v>5</v>
      </c>
      <c r="H44" t="s">
        <v>90</v>
      </c>
      <c r="I44" t="s">
        <v>21</v>
      </c>
      <c r="J44" s="3">
        <f t="shared" si="0"/>
        <v>0.51807228915662651</v>
      </c>
      <c r="K44" s="3">
        <f t="shared" si="1"/>
        <v>0.24096385542168675</v>
      </c>
      <c r="L44" s="3">
        <f t="shared" si="2"/>
        <v>6.0240963855421686E-2</v>
      </c>
      <c r="M44" t="str">
        <f t="shared" si="3"/>
        <v>Average</v>
      </c>
      <c r="N44" t="str">
        <f t="shared" si="4"/>
        <v>OK</v>
      </c>
    </row>
    <row r="45" spans="1:14" x14ac:dyDescent="0.25">
      <c r="A45" t="s">
        <v>91</v>
      </c>
      <c r="B45">
        <v>7</v>
      </c>
      <c r="C45">
        <v>60</v>
      </c>
      <c r="D45">
        <v>36</v>
      </c>
      <c r="E45">
        <v>23</v>
      </c>
      <c r="F45">
        <v>0</v>
      </c>
      <c r="G45">
        <v>1</v>
      </c>
      <c r="H45" t="s">
        <v>92</v>
      </c>
      <c r="I45" t="s">
        <v>21</v>
      </c>
      <c r="J45" s="3">
        <f t="shared" si="0"/>
        <v>0.6</v>
      </c>
      <c r="K45" s="3">
        <f t="shared" si="1"/>
        <v>0</v>
      </c>
      <c r="L45" s="3">
        <f t="shared" si="2"/>
        <v>1.6666666666666666E-2</v>
      </c>
      <c r="M45" t="str">
        <f t="shared" si="3"/>
        <v>Average</v>
      </c>
      <c r="N45" t="str">
        <f t="shared" si="4"/>
        <v>OK</v>
      </c>
    </row>
    <row r="46" spans="1:14" x14ac:dyDescent="0.25">
      <c r="A46" t="s">
        <v>93</v>
      </c>
      <c r="B46">
        <v>8</v>
      </c>
      <c r="C46">
        <v>82</v>
      </c>
      <c r="D46">
        <v>7</v>
      </c>
      <c r="E46">
        <v>32</v>
      </c>
      <c r="F46">
        <v>28</v>
      </c>
      <c r="G46">
        <v>15</v>
      </c>
      <c r="H46" t="s">
        <v>46</v>
      </c>
      <c r="I46" t="s">
        <v>36</v>
      </c>
      <c r="J46" s="3">
        <f t="shared" si="0"/>
        <v>8.5365853658536592E-2</v>
      </c>
      <c r="K46" s="3">
        <f t="shared" si="1"/>
        <v>0.34146341463414637</v>
      </c>
      <c r="L46" s="3">
        <f t="shared" si="2"/>
        <v>0.18292682926829268</v>
      </c>
      <c r="M46" t="str">
        <f t="shared" si="3"/>
        <v>Poor</v>
      </c>
      <c r="N46" t="str">
        <f t="shared" si="4"/>
        <v>OK</v>
      </c>
    </row>
    <row r="47" spans="1:14" x14ac:dyDescent="0.25">
      <c r="A47" t="s">
        <v>94</v>
      </c>
      <c r="B47">
        <v>26</v>
      </c>
      <c r="C47">
        <v>72</v>
      </c>
      <c r="D47">
        <v>10</v>
      </c>
      <c r="E47">
        <v>48</v>
      </c>
      <c r="F47">
        <v>1</v>
      </c>
      <c r="G47">
        <v>13</v>
      </c>
      <c r="H47" t="s">
        <v>18</v>
      </c>
      <c r="I47" t="s">
        <v>16</v>
      </c>
      <c r="J47" s="3">
        <f t="shared" si="0"/>
        <v>0.1388888888888889</v>
      </c>
      <c r="K47" s="3">
        <f t="shared" si="1"/>
        <v>1.3888888888888888E-2</v>
      </c>
      <c r="L47" s="3">
        <f t="shared" si="2"/>
        <v>0.18055555555555555</v>
      </c>
      <c r="M47" t="str">
        <f t="shared" si="3"/>
        <v>Poor</v>
      </c>
      <c r="N47" t="str">
        <f t="shared" si="4"/>
        <v>OK</v>
      </c>
    </row>
    <row r="48" spans="1:14" x14ac:dyDescent="0.25">
      <c r="A48" t="s">
        <v>95</v>
      </c>
      <c r="B48">
        <v>21</v>
      </c>
      <c r="C48">
        <v>47</v>
      </c>
      <c r="D48">
        <v>15</v>
      </c>
      <c r="E48">
        <v>14</v>
      </c>
      <c r="F48">
        <v>11</v>
      </c>
      <c r="G48">
        <v>7</v>
      </c>
      <c r="H48" t="s">
        <v>96</v>
      </c>
      <c r="I48" t="s">
        <v>21</v>
      </c>
      <c r="J48" s="3">
        <f t="shared" si="0"/>
        <v>0.31914893617021278</v>
      </c>
      <c r="K48" s="3">
        <f t="shared" si="1"/>
        <v>0.23404255319148937</v>
      </c>
      <c r="L48" s="3">
        <f t="shared" si="2"/>
        <v>0.14893617021276595</v>
      </c>
      <c r="M48" t="str">
        <f t="shared" si="3"/>
        <v>Poor</v>
      </c>
      <c r="N48" t="str">
        <f t="shared" si="4"/>
        <v>OK</v>
      </c>
    </row>
    <row r="49" spans="1:14" x14ac:dyDescent="0.25">
      <c r="A49" t="s">
        <v>97</v>
      </c>
      <c r="B49">
        <v>18</v>
      </c>
      <c r="C49">
        <v>61</v>
      </c>
      <c r="D49">
        <v>60</v>
      </c>
      <c r="E49">
        <v>1</v>
      </c>
      <c r="F49">
        <v>0</v>
      </c>
      <c r="G49">
        <v>0</v>
      </c>
      <c r="H49" t="s">
        <v>98</v>
      </c>
      <c r="I49" t="s">
        <v>21</v>
      </c>
      <c r="J49" s="3">
        <f t="shared" si="0"/>
        <v>0.98360655737704916</v>
      </c>
      <c r="K49" s="3">
        <f t="shared" si="1"/>
        <v>0</v>
      </c>
      <c r="L49" s="3">
        <f t="shared" si="2"/>
        <v>0</v>
      </c>
      <c r="M49" t="str">
        <f t="shared" si="3"/>
        <v>Excellent</v>
      </c>
      <c r="N49" t="str">
        <f t="shared" si="4"/>
        <v>OK</v>
      </c>
    </row>
    <row r="50" spans="1:14" x14ac:dyDescent="0.25">
      <c r="A50" t="s">
        <v>99</v>
      </c>
      <c r="B50">
        <v>30</v>
      </c>
      <c r="C50">
        <v>85</v>
      </c>
      <c r="D50">
        <v>5</v>
      </c>
      <c r="E50">
        <v>6</v>
      </c>
      <c r="F50">
        <v>24</v>
      </c>
      <c r="G50">
        <v>50</v>
      </c>
      <c r="H50" t="s">
        <v>100</v>
      </c>
      <c r="I50" t="s">
        <v>24</v>
      </c>
      <c r="J50" s="3">
        <f t="shared" si="0"/>
        <v>5.8823529411764705E-2</v>
      </c>
      <c r="K50" s="3">
        <f t="shared" si="1"/>
        <v>0.28235294117647058</v>
      </c>
      <c r="L50" s="3">
        <f t="shared" si="2"/>
        <v>0.58823529411764708</v>
      </c>
      <c r="M50" t="str">
        <f t="shared" si="3"/>
        <v>Poor</v>
      </c>
      <c r="N50" t="str">
        <f t="shared" si="4"/>
        <v>OK</v>
      </c>
    </row>
    <row r="51" spans="1:14" x14ac:dyDescent="0.25">
      <c r="A51" t="s">
        <v>101</v>
      </c>
      <c r="B51">
        <v>30</v>
      </c>
      <c r="C51">
        <v>147</v>
      </c>
      <c r="D51">
        <v>91</v>
      </c>
      <c r="E51">
        <v>33</v>
      </c>
      <c r="F51">
        <v>21</v>
      </c>
      <c r="G51">
        <v>2</v>
      </c>
      <c r="H51" t="s">
        <v>102</v>
      </c>
      <c r="I51" t="s">
        <v>21</v>
      </c>
      <c r="J51" s="3">
        <f t="shared" si="0"/>
        <v>0.61904761904761907</v>
      </c>
      <c r="K51" s="3">
        <f t="shared" si="1"/>
        <v>0.14285714285714285</v>
      </c>
      <c r="L51" s="3">
        <f t="shared" si="2"/>
        <v>1.3605442176870748E-2</v>
      </c>
      <c r="M51" t="str">
        <f t="shared" si="3"/>
        <v>Average</v>
      </c>
      <c r="N51" t="str">
        <f t="shared" si="4"/>
        <v>OK</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0073-0D30-45D1-BD39-294C25415C56}">
  <dimension ref="A3:E90"/>
  <sheetViews>
    <sheetView topLeftCell="A74" workbookViewId="0">
      <selection activeCell="W34" sqref="W34"/>
    </sheetView>
  </sheetViews>
  <sheetFormatPr defaultRowHeight="15" x14ac:dyDescent="0.25"/>
  <cols>
    <col min="1" max="1" width="13.140625" bestFit="1" customWidth="1"/>
    <col min="2" max="2" width="21.42578125" bestFit="1" customWidth="1"/>
    <col min="3" max="3" width="15" bestFit="1" customWidth="1"/>
    <col min="4" max="4" width="20.28515625" bestFit="1" customWidth="1"/>
    <col min="5" max="5" width="16.42578125" bestFit="1" customWidth="1"/>
  </cols>
  <sheetData>
    <row r="3" spans="1:5" x14ac:dyDescent="0.25">
      <c r="A3" t="s">
        <v>103</v>
      </c>
      <c r="B3" t="s">
        <v>104</v>
      </c>
      <c r="C3" t="s">
        <v>106</v>
      </c>
      <c r="D3" t="s">
        <v>105</v>
      </c>
    </row>
    <row r="4" spans="1:5" x14ac:dyDescent="0.25">
      <c r="A4" s="4">
        <v>4826</v>
      </c>
      <c r="B4" s="4">
        <v>2485</v>
      </c>
      <c r="C4" s="4">
        <v>691</v>
      </c>
      <c r="D4" s="5">
        <v>26.047610637785269</v>
      </c>
    </row>
    <row r="7" spans="1:5" x14ac:dyDescent="0.25">
      <c r="A7" s="6" t="s">
        <v>107</v>
      </c>
      <c r="B7" t="s">
        <v>109</v>
      </c>
    </row>
    <row r="8" spans="1:5" x14ac:dyDescent="0.25">
      <c r="A8" s="7" t="s">
        <v>110</v>
      </c>
      <c r="B8" s="4">
        <v>13</v>
      </c>
    </row>
    <row r="9" spans="1:5" x14ac:dyDescent="0.25">
      <c r="A9" s="7" t="s">
        <v>111</v>
      </c>
      <c r="B9" s="4">
        <v>3</v>
      </c>
    </row>
    <row r="10" spans="1:5" x14ac:dyDescent="0.25">
      <c r="A10" s="7" t="s">
        <v>112</v>
      </c>
      <c r="B10" s="4">
        <v>10</v>
      </c>
    </row>
    <row r="11" spans="1:5" x14ac:dyDescent="0.25">
      <c r="A11" s="7" t="s">
        <v>113</v>
      </c>
      <c r="B11" s="4">
        <v>24</v>
      </c>
    </row>
    <row r="12" spans="1:5" x14ac:dyDescent="0.25">
      <c r="A12" s="7" t="s">
        <v>108</v>
      </c>
      <c r="B12" s="4">
        <v>50</v>
      </c>
    </row>
    <row r="15" spans="1:5" x14ac:dyDescent="0.25">
      <c r="A15" s="6" t="s">
        <v>107</v>
      </c>
      <c r="B15" t="s">
        <v>104</v>
      </c>
      <c r="C15" t="s">
        <v>114</v>
      </c>
      <c r="D15" t="s">
        <v>106</v>
      </c>
      <c r="E15" t="s">
        <v>115</v>
      </c>
    </row>
    <row r="16" spans="1:5" x14ac:dyDescent="0.25">
      <c r="A16" s="7" t="s">
        <v>37</v>
      </c>
      <c r="B16" s="4">
        <v>20</v>
      </c>
      <c r="C16" s="4">
        <v>4</v>
      </c>
      <c r="D16" s="4">
        <v>3</v>
      </c>
      <c r="E16" s="4">
        <v>0</v>
      </c>
    </row>
    <row r="17" spans="1:5" x14ac:dyDescent="0.25">
      <c r="A17" s="7" t="s">
        <v>91</v>
      </c>
      <c r="B17" s="4">
        <v>36</v>
      </c>
      <c r="C17" s="4">
        <v>23</v>
      </c>
      <c r="D17" s="4">
        <v>0</v>
      </c>
      <c r="E17" s="4">
        <v>1</v>
      </c>
    </row>
    <row r="18" spans="1:5" x14ac:dyDescent="0.25">
      <c r="A18" s="7" t="s">
        <v>75</v>
      </c>
      <c r="B18" s="4">
        <v>50</v>
      </c>
      <c r="C18" s="4">
        <v>9</v>
      </c>
      <c r="D18" s="4">
        <v>10</v>
      </c>
      <c r="E18" s="4">
        <v>9</v>
      </c>
    </row>
    <row r="19" spans="1:5" x14ac:dyDescent="0.25">
      <c r="A19" s="7" t="s">
        <v>80</v>
      </c>
      <c r="B19" s="4">
        <v>72</v>
      </c>
      <c r="C19" s="4">
        <v>4</v>
      </c>
      <c r="D19" s="4">
        <v>0</v>
      </c>
      <c r="E19" s="4">
        <v>0</v>
      </c>
    </row>
    <row r="20" spans="1:5" x14ac:dyDescent="0.25">
      <c r="A20" s="7" t="s">
        <v>69</v>
      </c>
      <c r="B20" s="4">
        <v>80</v>
      </c>
      <c r="C20" s="4">
        <v>0</v>
      </c>
      <c r="D20" s="4">
        <v>0</v>
      </c>
      <c r="E20" s="4">
        <v>45</v>
      </c>
    </row>
    <row r="21" spans="1:5" x14ac:dyDescent="0.25">
      <c r="A21" s="7" t="s">
        <v>41</v>
      </c>
      <c r="B21" s="4">
        <v>43</v>
      </c>
      <c r="C21" s="4">
        <v>16</v>
      </c>
      <c r="D21" s="4">
        <v>0</v>
      </c>
      <c r="E21" s="4">
        <v>4</v>
      </c>
    </row>
    <row r="22" spans="1:5" x14ac:dyDescent="0.25">
      <c r="A22" s="7" t="s">
        <v>25</v>
      </c>
      <c r="B22" s="4">
        <v>46</v>
      </c>
      <c r="C22" s="4">
        <v>11</v>
      </c>
      <c r="D22" s="4">
        <v>64</v>
      </c>
      <c r="E22" s="4">
        <v>18</v>
      </c>
    </row>
    <row r="23" spans="1:5" x14ac:dyDescent="0.25">
      <c r="A23" s="7" t="s">
        <v>83</v>
      </c>
      <c r="B23" s="4">
        <v>69</v>
      </c>
      <c r="C23" s="4">
        <v>12</v>
      </c>
      <c r="D23" s="4">
        <v>5</v>
      </c>
      <c r="E23" s="4">
        <v>36</v>
      </c>
    </row>
    <row r="24" spans="1:5" x14ac:dyDescent="0.25">
      <c r="A24" s="7" t="s">
        <v>66</v>
      </c>
      <c r="B24" s="4">
        <v>89</v>
      </c>
      <c r="C24" s="4">
        <v>33</v>
      </c>
      <c r="D24" s="4">
        <v>3</v>
      </c>
      <c r="E24" s="4">
        <v>0</v>
      </c>
    </row>
    <row r="25" spans="1:5" x14ac:dyDescent="0.25">
      <c r="A25" s="7" t="s">
        <v>57</v>
      </c>
      <c r="B25" s="4">
        <v>37</v>
      </c>
      <c r="C25" s="4">
        <v>1</v>
      </c>
      <c r="D25" s="4">
        <v>8</v>
      </c>
      <c r="E25" s="4">
        <v>47</v>
      </c>
    </row>
    <row r="26" spans="1:5" x14ac:dyDescent="0.25">
      <c r="A26" s="7" t="s">
        <v>17</v>
      </c>
      <c r="B26" s="4">
        <v>34</v>
      </c>
      <c r="C26" s="4">
        <v>2</v>
      </c>
      <c r="D26" s="4">
        <v>28</v>
      </c>
      <c r="E26" s="4">
        <v>2</v>
      </c>
    </row>
    <row r="27" spans="1:5" x14ac:dyDescent="0.25">
      <c r="A27" s="7" t="s">
        <v>86</v>
      </c>
      <c r="B27" s="4">
        <v>32</v>
      </c>
      <c r="C27" s="4">
        <v>12</v>
      </c>
      <c r="D27" s="4">
        <v>0</v>
      </c>
      <c r="E27" s="4">
        <v>0</v>
      </c>
    </row>
    <row r="28" spans="1:5" x14ac:dyDescent="0.25">
      <c r="A28" s="7" t="s">
        <v>32</v>
      </c>
      <c r="B28" s="4">
        <v>122</v>
      </c>
      <c r="C28" s="4">
        <v>20</v>
      </c>
      <c r="D28" s="4">
        <v>1</v>
      </c>
      <c r="E28" s="4">
        <v>0</v>
      </c>
    </row>
    <row r="29" spans="1:5" x14ac:dyDescent="0.25">
      <c r="A29" s="7" t="s">
        <v>27</v>
      </c>
      <c r="B29" s="4">
        <v>70</v>
      </c>
      <c r="C29" s="4">
        <v>9</v>
      </c>
      <c r="D29" s="4">
        <v>0</v>
      </c>
      <c r="E29" s="4">
        <v>0</v>
      </c>
    </row>
    <row r="30" spans="1:5" x14ac:dyDescent="0.25">
      <c r="A30" s="7" t="s">
        <v>89</v>
      </c>
      <c r="B30" s="4">
        <v>43</v>
      </c>
      <c r="C30" s="4">
        <v>15</v>
      </c>
      <c r="D30" s="4">
        <v>20</v>
      </c>
      <c r="E30" s="4">
        <v>5</v>
      </c>
    </row>
    <row r="31" spans="1:5" x14ac:dyDescent="0.25">
      <c r="A31" s="7" t="s">
        <v>34</v>
      </c>
      <c r="B31" s="4">
        <v>17</v>
      </c>
      <c r="C31" s="4">
        <v>96</v>
      </c>
      <c r="D31" s="4">
        <v>0</v>
      </c>
      <c r="E31" s="4">
        <v>22</v>
      </c>
    </row>
    <row r="32" spans="1:5" x14ac:dyDescent="0.25">
      <c r="A32" s="7" t="s">
        <v>77</v>
      </c>
      <c r="B32" s="4">
        <v>31</v>
      </c>
      <c r="C32" s="4">
        <v>17</v>
      </c>
      <c r="D32" s="4">
        <v>32</v>
      </c>
      <c r="E32" s="4">
        <v>21</v>
      </c>
    </row>
    <row r="33" spans="1:5" x14ac:dyDescent="0.25">
      <c r="A33" s="7" t="s">
        <v>51</v>
      </c>
      <c r="B33" s="4">
        <v>20</v>
      </c>
      <c r="C33" s="4">
        <v>2</v>
      </c>
      <c r="D33" s="4">
        <v>20</v>
      </c>
      <c r="E33" s="4">
        <v>18</v>
      </c>
    </row>
    <row r="34" spans="1:5" x14ac:dyDescent="0.25">
      <c r="A34" s="7" t="s">
        <v>79</v>
      </c>
      <c r="B34" s="4">
        <v>87</v>
      </c>
      <c r="C34" s="4">
        <v>44</v>
      </c>
      <c r="D34" s="4">
        <v>3</v>
      </c>
      <c r="E34" s="4">
        <v>16</v>
      </c>
    </row>
    <row r="35" spans="1:5" x14ac:dyDescent="0.25">
      <c r="A35" s="7" t="s">
        <v>72</v>
      </c>
      <c r="B35" s="4">
        <v>53</v>
      </c>
      <c r="C35" s="4">
        <v>12</v>
      </c>
      <c r="D35" s="4">
        <v>40</v>
      </c>
      <c r="E35" s="4">
        <v>5</v>
      </c>
    </row>
    <row r="36" spans="1:5" x14ac:dyDescent="0.25">
      <c r="A36" s="7" t="s">
        <v>43</v>
      </c>
      <c r="B36" s="4">
        <v>52</v>
      </c>
      <c r="C36" s="4">
        <v>35</v>
      </c>
      <c r="D36" s="4">
        <v>36</v>
      </c>
      <c r="E36" s="4">
        <v>2</v>
      </c>
    </row>
    <row r="37" spans="1:5" x14ac:dyDescent="0.25">
      <c r="A37" s="7" t="s">
        <v>81</v>
      </c>
      <c r="B37" s="4">
        <v>48</v>
      </c>
      <c r="C37" s="4">
        <v>26</v>
      </c>
      <c r="D37" s="4">
        <v>15</v>
      </c>
      <c r="E37" s="4">
        <v>19</v>
      </c>
    </row>
    <row r="38" spans="1:5" x14ac:dyDescent="0.25">
      <c r="A38" s="7" t="s">
        <v>59</v>
      </c>
      <c r="B38" s="4">
        <v>75</v>
      </c>
      <c r="C38" s="4">
        <v>45</v>
      </c>
      <c r="D38" s="4">
        <v>3</v>
      </c>
      <c r="E38" s="4">
        <v>13</v>
      </c>
    </row>
    <row r="39" spans="1:5" x14ac:dyDescent="0.25">
      <c r="A39" s="7" t="s">
        <v>14</v>
      </c>
      <c r="B39" s="4">
        <v>67</v>
      </c>
      <c r="C39" s="4">
        <v>8</v>
      </c>
      <c r="D39" s="4">
        <v>46</v>
      </c>
      <c r="E39" s="4">
        <v>1</v>
      </c>
    </row>
    <row r="40" spans="1:5" x14ac:dyDescent="0.25">
      <c r="A40" s="7" t="s">
        <v>68</v>
      </c>
      <c r="B40" s="4">
        <v>96</v>
      </c>
      <c r="C40" s="4">
        <v>12</v>
      </c>
      <c r="D40" s="4">
        <v>5</v>
      </c>
      <c r="E40" s="4">
        <v>1</v>
      </c>
    </row>
    <row r="41" spans="1:5" x14ac:dyDescent="0.25">
      <c r="A41" s="7" t="s">
        <v>29</v>
      </c>
      <c r="B41" s="4">
        <v>11</v>
      </c>
      <c r="C41" s="4">
        <v>15</v>
      </c>
      <c r="D41" s="4">
        <v>1</v>
      </c>
      <c r="E41" s="4">
        <v>1</v>
      </c>
    </row>
    <row r="42" spans="1:5" x14ac:dyDescent="0.25">
      <c r="A42" s="7" t="s">
        <v>49</v>
      </c>
      <c r="B42" s="4">
        <v>86</v>
      </c>
      <c r="C42" s="4">
        <v>13</v>
      </c>
      <c r="D42" s="4">
        <v>23</v>
      </c>
      <c r="E42" s="4">
        <v>3</v>
      </c>
    </row>
    <row r="43" spans="1:5" x14ac:dyDescent="0.25">
      <c r="A43" s="7" t="s">
        <v>93</v>
      </c>
      <c r="B43" s="4">
        <v>7</v>
      </c>
      <c r="C43" s="4">
        <v>32</v>
      </c>
      <c r="D43" s="4">
        <v>28</v>
      </c>
      <c r="E43" s="4">
        <v>15</v>
      </c>
    </row>
    <row r="44" spans="1:5" x14ac:dyDescent="0.25">
      <c r="A44" s="7" t="s">
        <v>45</v>
      </c>
      <c r="B44" s="4">
        <v>55</v>
      </c>
      <c r="C44" s="4">
        <v>36</v>
      </c>
      <c r="D44" s="4">
        <v>50</v>
      </c>
      <c r="E44" s="4">
        <v>1</v>
      </c>
    </row>
    <row r="45" spans="1:5" x14ac:dyDescent="0.25">
      <c r="A45" s="7" t="s">
        <v>74</v>
      </c>
      <c r="B45" s="4">
        <v>5</v>
      </c>
      <c r="C45" s="4">
        <v>20</v>
      </c>
      <c r="D45" s="4">
        <v>9</v>
      </c>
      <c r="E45" s="4">
        <v>1</v>
      </c>
    </row>
    <row r="46" spans="1:5" x14ac:dyDescent="0.25">
      <c r="A46" s="7" t="s">
        <v>58</v>
      </c>
      <c r="B46" s="4">
        <v>43</v>
      </c>
      <c r="C46" s="4">
        <v>8</v>
      </c>
      <c r="D46" s="4">
        <v>3</v>
      </c>
      <c r="E46" s="4">
        <v>10</v>
      </c>
    </row>
    <row r="47" spans="1:5" x14ac:dyDescent="0.25">
      <c r="A47" s="7" t="s">
        <v>97</v>
      </c>
      <c r="B47" s="4">
        <v>60</v>
      </c>
      <c r="C47" s="4">
        <v>1</v>
      </c>
      <c r="D47" s="4">
        <v>0</v>
      </c>
      <c r="E47" s="4">
        <v>0</v>
      </c>
    </row>
    <row r="48" spans="1:5" x14ac:dyDescent="0.25">
      <c r="A48" s="7" t="s">
        <v>22</v>
      </c>
      <c r="B48" s="4">
        <v>30</v>
      </c>
      <c r="C48" s="4">
        <v>78</v>
      </c>
      <c r="D48" s="4">
        <v>0</v>
      </c>
      <c r="E48" s="4">
        <v>0</v>
      </c>
    </row>
    <row r="49" spans="1:5" x14ac:dyDescent="0.25">
      <c r="A49" s="7" t="s">
        <v>39</v>
      </c>
      <c r="B49" s="4">
        <v>32</v>
      </c>
      <c r="C49" s="4">
        <v>16</v>
      </c>
      <c r="D49" s="4">
        <v>1</v>
      </c>
      <c r="E49" s="4">
        <v>96</v>
      </c>
    </row>
    <row r="50" spans="1:5" x14ac:dyDescent="0.25">
      <c r="A50" s="7" t="s">
        <v>30</v>
      </c>
      <c r="B50" s="4">
        <v>88</v>
      </c>
      <c r="C50" s="4">
        <v>4</v>
      </c>
      <c r="D50" s="4">
        <v>5</v>
      </c>
      <c r="E50" s="4">
        <v>2</v>
      </c>
    </row>
    <row r="51" spans="1:5" x14ac:dyDescent="0.25">
      <c r="A51" s="7" t="s">
        <v>61</v>
      </c>
      <c r="B51" s="4">
        <v>90</v>
      </c>
      <c r="C51" s="4">
        <v>13</v>
      </c>
      <c r="D51" s="4">
        <v>3</v>
      </c>
      <c r="E51" s="4">
        <v>3</v>
      </c>
    </row>
    <row r="52" spans="1:5" x14ac:dyDescent="0.25">
      <c r="A52" s="7" t="s">
        <v>99</v>
      </c>
      <c r="B52" s="4">
        <v>5</v>
      </c>
      <c r="C52" s="4">
        <v>6</v>
      </c>
      <c r="D52" s="4">
        <v>24</v>
      </c>
      <c r="E52" s="4">
        <v>50</v>
      </c>
    </row>
    <row r="53" spans="1:5" x14ac:dyDescent="0.25">
      <c r="A53" s="7" t="s">
        <v>70</v>
      </c>
      <c r="B53" s="4">
        <v>61</v>
      </c>
      <c r="C53" s="4">
        <v>4</v>
      </c>
      <c r="D53" s="4">
        <v>45</v>
      </c>
      <c r="E53" s="4">
        <v>23</v>
      </c>
    </row>
    <row r="54" spans="1:5" x14ac:dyDescent="0.25">
      <c r="A54" s="7" t="s">
        <v>88</v>
      </c>
      <c r="B54" s="4">
        <v>45</v>
      </c>
      <c r="C54" s="4">
        <v>78</v>
      </c>
      <c r="D54" s="4">
        <v>6</v>
      </c>
      <c r="E54" s="4">
        <v>2</v>
      </c>
    </row>
    <row r="55" spans="1:5" x14ac:dyDescent="0.25">
      <c r="A55" s="7" t="s">
        <v>50</v>
      </c>
      <c r="B55" s="4">
        <v>26</v>
      </c>
      <c r="C55" s="4">
        <v>4</v>
      </c>
      <c r="D55" s="4">
        <v>1</v>
      </c>
      <c r="E55" s="4">
        <v>0</v>
      </c>
    </row>
    <row r="56" spans="1:5" x14ac:dyDescent="0.25">
      <c r="A56" s="7" t="s">
        <v>84</v>
      </c>
      <c r="B56" s="4">
        <v>17</v>
      </c>
      <c r="C56" s="4">
        <v>27</v>
      </c>
      <c r="D56" s="4">
        <v>36</v>
      </c>
      <c r="E56" s="4">
        <v>5</v>
      </c>
    </row>
    <row r="57" spans="1:5" x14ac:dyDescent="0.25">
      <c r="A57" s="7" t="s">
        <v>65</v>
      </c>
      <c r="B57" s="4">
        <v>61</v>
      </c>
      <c r="C57" s="4">
        <v>0</v>
      </c>
      <c r="D57" s="4">
        <v>0</v>
      </c>
      <c r="E57" s="4">
        <v>0</v>
      </c>
    </row>
    <row r="58" spans="1:5" x14ac:dyDescent="0.25">
      <c r="A58" s="7" t="s">
        <v>53</v>
      </c>
      <c r="B58" s="4">
        <v>26</v>
      </c>
      <c r="C58" s="4">
        <v>42</v>
      </c>
      <c r="D58" s="4">
        <v>4</v>
      </c>
      <c r="E58" s="4">
        <v>9</v>
      </c>
    </row>
    <row r="59" spans="1:5" x14ac:dyDescent="0.25">
      <c r="A59" s="7" t="s">
        <v>101</v>
      </c>
      <c r="B59" s="4">
        <v>91</v>
      </c>
      <c r="C59" s="4">
        <v>33</v>
      </c>
      <c r="D59" s="4">
        <v>21</v>
      </c>
      <c r="E59" s="4">
        <v>2</v>
      </c>
    </row>
    <row r="60" spans="1:5" x14ac:dyDescent="0.25">
      <c r="A60" s="7" t="s">
        <v>94</v>
      </c>
      <c r="B60" s="4">
        <v>10</v>
      </c>
      <c r="C60" s="4">
        <v>48</v>
      </c>
      <c r="D60" s="4">
        <v>1</v>
      </c>
      <c r="E60" s="4">
        <v>13</v>
      </c>
    </row>
    <row r="61" spans="1:5" x14ac:dyDescent="0.25">
      <c r="A61" s="7" t="s">
        <v>55</v>
      </c>
      <c r="B61" s="4">
        <v>125</v>
      </c>
      <c r="C61" s="4">
        <v>17</v>
      </c>
      <c r="D61" s="4">
        <v>0</v>
      </c>
      <c r="E61" s="4">
        <v>2</v>
      </c>
    </row>
    <row r="62" spans="1:5" x14ac:dyDescent="0.25">
      <c r="A62" s="7" t="s">
        <v>47</v>
      </c>
      <c r="B62" s="4">
        <v>9</v>
      </c>
      <c r="C62" s="4">
        <v>27</v>
      </c>
      <c r="D62" s="4">
        <v>0</v>
      </c>
      <c r="E62" s="4">
        <v>0</v>
      </c>
    </row>
    <row r="63" spans="1:5" x14ac:dyDescent="0.25">
      <c r="A63" s="7" t="s">
        <v>95</v>
      </c>
      <c r="B63" s="4">
        <v>15</v>
      </c>
      <c r="C63" s="4">
        <v>14</v>
      </c>
      <c r="D63" s="4">
        <v>11</v>
      </c>
      <c r="E63" s="4">
        <v>7</v>
      </c>
    </row>
    <row r="64" spans="1:5" x14ac:dyDescent="0.25">
      <c r="A64" s="7" t="s">
        <v>63</v>
      </c>
      <c r="B64" s="4">
        <v>61</v>
      </c>
      <c r="C64" s="4">
        <v>31</v>
      </c>
      <c r="D64" s="4">
        <v>36</v>
      </c>
      <c r="E64" s="4">
        <v>14</v>
      </c>
    </row>
    <row r="65" spans="1:5" x14ac:dyDescent="0.25">
      <c r="A65" s="7" t="s">
        <v>19</v>
      </c>
      <c r="B65" s="4">
        <v>37</v>
      </c>
      <c r="C65" s="4">
        <v>66</v>
      </c>
      <c r="D65" s="4">
        <v>41</v>
      </c>
      <c r="E65" s="4">
        <v>5</v>
      </c>
    </row>
    <row r="66" spans="1:5" x14ac:dyDescent="0.25">
      <c r="A66" s="7" t="s">
        <v>108</v>
      </c>
      <c r="B66" s="4">
        <v>2485</v>
      </c>
      <c r="C66" s="4">
        <v>1101</v>
      </c>
      <c r="D66" s="4">
        <v>691</v>
      </c>
      <c r="E66" s="4">
        <v>549</v>
      </c>
    </row>
    <row r="69" spans="1:5" x14ac:dyDescent="0.25">
      <c r="A69" s="6" t="s">
        <v>107</v>
      </c>
      <c r="B69" t="s">
        <v>103</v>
      </c>
    </row>
    <row r="70" spans="1:5" x14ac:dyDescent="0.25">
      <c r="A70" s="7" t="s">
        <v>16</v>
      </c>
      <c r="B70" s="4">
        <v>1564</v>
      </c>
    </row>
    <row r="71" spans="1:5" x14ac:dyDescent="0.25">
      <c r="A71" s="7" t="s">
        <v>24</v>
      </c>
      <c r="B71" s="4">
        <v>801</v>
      </c>
    </row>
    <row r="72" spans="1:5" x14ac:dyDescent="0.25">
      <c r="A72" s="7" t="s">
        <v>36</v>
      </c>
      <c r="B72" s="4">
        <v>578</v>
      </c>
    </row>
    <row r="73" spans="1:5" x14ac:dyDescent="0.25">
      <c r="A73" s="7" t="s">
        <v>21</v>
      </c>
      <c r="B73" s="4">
        <v>1883</v>
      </c>
    </row>
    <row r="74" spans="1:5" x14ac:dyDescent="0.25">
      <c r="A74" s="7" t="s">
        <v>108</v>
      </c>
      <c r="B74" s="4">
        <v>4826</v>
      </c>
    </row>
    <row r="77" spans="1:5" x14ac:dyDescent="0.25">
      <c r="A77" s="6" t="s">
        <v>107</v>
      </c>
      <c r="B77" t="s">
        <v>116</v>
      </c>
    </row>
    <row r="78" spans="1:5" x14ac:dyDescent="0.25">
      <c r="A78" s="7" t="s">
        <v>110</v>
      </c>
      <c r="B78" s="4">
        <v>228</v>
      </c>
    </row>
    <row r="79" spans="1:5" x14ac:dyDescent="0.25">
      <c r="A79" s="7" t="s">
        <v>111</v>
      </c>
      <c r="B79" s="4">
        <v>31</v>
      </c>
    </row>
    <row r="80" spans="1:5" x14ac:dyDescent="0.25">
      <c r="A80" s="7" t="s">
        <v>112</v>
      </c>
      <c r="B80" s="4">
        <v>167</v>
      </c>
    </row>
    <row r="81" spans="1:2" x14ac:dyDescent="0.25">
      <c r="A81" s="7" t="s">
        <v>113</v>
      </c>
      <c r="B81" s="4">
        <v>417</v>
      </c>
    </row>
    <row r="82" spans="1:2" x14ac:dyDescent="0.25">
      <c r="A82" s="7" t="s">
        <v>108</v>
      </c>
      <c r="B82" s="4">
        <v>843</v>
      </c>
    </row>
    <row r="85" spans="1:2" x14ac:dyDescent="0.25">
      <c r="A85" s="6" t="s">
        <v>107</v>
      </c>
      <c r="B85" t="s">
        <v>103</v>
      </c>
    </row>
    <row r="86" spans="1:2" x14ac:dyDescent="0.25">
      <c r="A86" s="7" t="s">
        <v>110</v>
      </c>
      <c r="B86" s="4">
        <v>1341</v>
      </c>
    </row>
    <row r="87" spans="1:2" x14ac:dyDescent="0.25">
      <c r="A87" s="7" t="s">
        <v>111</v>
      </c>
      <c r="B87" s="4">
        <v>198</v>
      </c>
    </row>
    <row r="88" spans="1:2" x14ac:dyDescent="0.25">
      <c r="A88" s="7" t="s">
        <v>112</v>
      </c>
      <c r="B88" s="4">
        <v>915</v>
      </c>
    </row>
    <row r="89" spans="1:2" x14ac:dyDescent="0.25">
      <c r="A89" s="7" t="s">
        <v>113</v>
      </c>
      <c r="B89" s="4">
        <v>2372</v>
      </c>
    </row>
    <row r="90" spans="1:2" x14ac:dyDescent="0.25">
      <c r="A90" s="7" t="s">
        <v>108</v>
      </c>
      <c r="B90" s="4">
        <v>4826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4E782-E474-426B-9EF2-01103D201777}">
  <dimension ref="A1"/>
  <sheetViews>
    <sheetView showGridLines="0" tabSelected="1" zoomScale="60" zoomScaleNormal="60" workbookViewId="0">
      <selection activeCell="A16" sqref="A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computer</cp:lastModifiedBy>
  <dcterms:created xsi:type="dcterms:W3CDTF">2026-03-25T16:23:22Z</dcterms:created>
  <dcterms:modified xsi:type="dcterms:W3CDTF">2026-03-31T13:31:26Z</dcterms:modified>
</cp:coreProperties>
</file>